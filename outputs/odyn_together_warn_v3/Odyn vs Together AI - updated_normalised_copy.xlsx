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Summary" sheetId="1" state="visible" r:id="rId1"/>
    <sheet name="Inference data" sheetId="2" state="visible" r:id="rId2"/>
    <sheet name="Fine-tune data" sheetId="3" state="visible" r:id="rId3"/>
    <sheet name="Config" sheetId="4" state="visible" r:id="rId4"/>
    <sheet name="Normalised costs" sheetId="5" state="visible" r:id="rId5"/>
    <sheet name="Normalised serving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topLeftCell="A4" workbookViewId="0">
      <selection activeCell="A1" sqref="A1"/>
    </sheetView>
  </sheetViews>
  <sheetFormatPr baseColWidth="8" defaultColWidth="14.453125" defaultRowHeight="15" customHeight="1"/>
  <cols>
    <col width="22" customWidth="1" style="8" min="1" max="1"/>
    <col width="30" customWidth="1" style="8" min="2" max="2"/>
    <col width="18" customWidth="1" style="8" min="3" max="4"/>
    <col width="24" customWidth="1" style="8" min="5" max="5"/>
    <col width="36" customWidth="1" style="8" min="6" max="6"/>
    <col width="8.7265625" customWidth="1" style="8" min="7" max="26"/>
  </cols>
  <sheetData>
    <row r="1" ht="18" customHeight="1" s="8">
      <c r="A1" s="1" t="inlineStr">
        <is>
          <t>Odyn GPUs (A100 / H100) vs Together AI: inference and fine-tuning</t>
        </is>
      </c>
    </row>
    <row r="3" ht="15.5" customHeight="1" s="8">
      <c r="A3" s="2" t="inlineStr">
        <is>
          <t>The answer in 6 lines</t>
        </is>
      </c>
    </row>
    <row r="4" ht="30" customHeight="1" s="8">
      <c r="A4" s="9" t="inlineStr">
        <is>
          <t>Inference price: our GPUs serve all four models for $0.27 to $0.50 per million output tokens. Together's 4B endpoint (1x H100, $5.49/hr) costs $0.99 at the same load and $0.42 at its best throughput, i.e. 1.3x to 3.2x ours.</t>
        </is>
      </c>
    </row>
    <row r="5" ht="60" customHeight="1" s="8">
      <c r="A5" s="9" t="inlineStr">
        <is>
          <t>Inference speed: at 6 requests/s our best GPU is level with Together on 4B and 9B and ahead on 27B and gpt-oss; at 1 request/s Together is 5 to 7% ahead on 4B and 9B and 2x ahead on 27B, while our best result on gpt-oss is about 21% faster (0.54 s vs 0.69 s). Percentages are relative to Together's time. The first token arrives 2 to 6x sooner (29 to 109 ms vs 157 to 277 ms) and the slowest 1% of requests are steadier (9B p99 1.7 s vs 6.9 s).</t>
        </is>
      </c>
    </row>
    <row r="6" ht="30" customHeight="1" s="8">
      <c r="A6" s="9" t="inlineStr">
        <is>
          <t>Fine-tune, time to a trained model: for 4B and 9B we hand back a trained model 2 to 14x sooner end to end (27B: 1.5x sooner up to 5k rows) (e.g. 9B on 5k rows: 6.6 min on H100 vs 16.8 min on Together incl. queue). Together is sooner only for 27B on 10k rows (41 vs 55 min).</t>
        </is>
      </c>
    </row>
    <row r="7" ht="30" customHeight="1" s="8">
      <c r="A7" s="9" t="inlineStr">
        <is>
          <t>Fine-tune, raw training speed: Together's training phase is 2 to 5x faster than one of our GPUs on 5k/10k jobs (27B 10k: 10.9 vs 54.4 min). We should not claim to train faster.</t>
        </is>
      </c>
    </row>
    <row r="8" ht="30" customHeight="1" s="8">
      <c r="A8" s="9" t="inlineStr">
        <is>
          <t>Fine-tune price: our GPUs train each job for $0.034 to $1.76 (GPU-hour cost); Together charges $4.00 per job for every model and size, 2.3x to 118x more.</t>
        </is>
      </c>
    </row>
    <row r="9" ht="30" customHeight="1" s="8">
      <c r="A9" s="9" t="inlineStr">
        <is>
          <t>Not claimable yet: higher peak serving throughput (our high-concurrency tests froze from a client-side limit), the largest model at light load (Together 27B 2.1 s vs our 4.4 s), and fine-tune quality (not measured).</t>
        </is>
      </c>
    </row>
    <row r="11" ht="15.5" customHeight="1" s="8">
      <c r="A11" s="2" t="inlineStr">
        <is>
          <t>What we tested</t>
        </is>
      </c>
    </row>
    <row r="12" ht="75" customHeight="1" s="8">
      <c r="A12" s="9" t="inlineStr">
        <is>
          <t>Inference: Qwen3.5 4B / 9B / 27B and openai gpt-oss-20b served with vLLM on one A100 SXM4 80GB or one H100 PCIe 80GB, against Together AI dedicated endpoints. ShareGPT 1k / 5k / 10k (English, prompt + output &lt;= 512 tokens), up to 128 output tokens, temperature 0, identical client code. Latency at 1, 2, 4, 6 requests/s; capacity at 16, 32, 64 concurrent. 
Fine-tuning: Qwen3.5 4B / 9B / 27B, LoRA r16 / alpha 32 / all linear layers, lr 1e-4, 1 epoch, effective batch 8, packed 4096-token sequences, ShareGPT 1k / 5k / 10k, identical settings on A100, H100 and Together's fine-tuning API.</t>
        </is>
      </c>
    </row>
    <row r="14" ht="15.5" customHeight="1" s="8">
      <c r="A14" s="2" t="inlineStr">
        <is>
          <t>1. Serving price per million output tokens</t>
        </is>
      </c>
    </row>
    <row r="15" ht="26" customHeight="1" s="8">
      <c r="A15" s="4" t="inlineStr">
        <is>
          <t>Model</t>
        </is>
      </c>
      <c r="B15" s="4" t="inlineStr">
        <is>
          <t>A100 ($/M tokens)</t>
        </is>
      </c>
      <c r="C15" s="4" t="inlineStr">
        <is>
          <t>H100 ($/M tokens)</t>
        </is>
      </c>
      <c r="D15" s="4" t="inlineStr">
        <is>
          <t>Together ($/M tokens)</t>
        </is>
      </c>
      <c r="E15" s="4" t="inlineStr">
        <is>
          <t>Basis</t>
        </is>
      </c>
    </row>
    <row r="16" ht="25" customHeight="1" s="8">
      <c r="A16" s="7" t="inlineStr">
        <is>
          <t>Qwen3.5-4B</t>
        </is>
      </c>
      <c r="B16" s="7" t="n">
        <v>0.32</v>
      </c>
      <c r="C16" s="7" t="n">
        <v>0.31</v>
      </c>
      <c r="D16" s="7" t="inlineStr">
        <is>
          <t>0.99 (best 0.42)</t>
        </is>
      </c>
      <c r="E16" s="7" t="inlineStr">
        <is>
          <t>Clean throughput at 16 concurrent</t>
        </is>
      </c>
    </row>
    <row r="17" ht="25" customHeight="1" s="8">
      <c r="A17" s="7" t="inlineStr">
        <is>
          <t>Qwen3.5-9B</t>
        </is>
      </c>
      <c r="B17" s="7" t="n">
        <v>0.42</v>
      </c>
      <c r="C17" s="7" t="n">
        <v>0.46</v>
      </c>
      <c r="D17" s="7" t="inlineStr">
        <is>
          <t>Price not confirmed</t>
        </is>
      </c>
      <c r="E17" s="7" t="inlineStr">
        <is>
          <t>Clean throughput at 16 concurrent</t>
        </is>
      </c>
    </row>
    <row r="18" ht="25" customHeight="1" s="8">
      <c r="A18" s="7" t="inlineStr">
        <is>
          <t>Qwen3.5-27B</t>
        </is>
      </c>
      <c r="B18" s="7" t="n">
        <v>0.5</v>
      </c>
      <c r="C18" s="7" t="n">
        <v>0.47</v>
      </c>
      <c r="D18" s="7" t="inlineStr">
        <is>
          <t>Price not confirmed</t>
        </is>
      </c>
      <c r="E18" s="7" t="inlineStr">
        <is>
          <t>Clean throughput at 64 concurrent</t>
        </is>
      </c>
    </row>
    <row r="19" ht="25" customHeight="1" s="8">
      <c r="A19" s="7" t="inlineStr">
        <is>
          <t>gpt-oss-20B</t>
        </is>
      </c>
      <c r="B19" s="7" t="n">
        <v>0.27</v>
      </c>
      <c r="C19" s="7" t="n">
        <v>0.31</v>
      </c>
      <c r="D19" s="7" t="inlineStr">
        <is>
          <t>Price not confirmed</t>
        </is>
      </c>
      <c r="E19" s="7" t="inlineStr">
        <is>
          <t>Clean throughput at 16 concurrent</t>
        </is>
      </c>
    </row>
    <row r="21" ht="15.75" customHeight="1" s="8">
      <c r="A21" s="2" t="inlineStr">
        <is>
          <t>2. Response time (average of valid runs across 1k / 5k / 10k)</t>
        </is>
      </c>
    </row>
    <row r="22" ht="15.75" customHeight="1" s="8">
      <c r="A22" s="4" t="inlineStr">
        <is>
          <t>Model</t>
        </is>
      </c>
      <c r="B22" s="4" t="inlineStr">
        <is>
          <t>Metric</t>
        </is>
      </c>
      <c r="C22" s="4" t="inlineStr">
        <is>
          <t>A100</t>
        </is>
      </c>
      <c r="D22" s="4" t="inlineStr">
        <is>
          <t>H100</t>
        </is>
      </c>
      <c r="E22" s="4" t="inlineStr">
        <is>
          <t>Together</t>
        </is>
      </c>
      <c r="F22" s="4" t="inlineStr">
        <is>
          <t>A100 vs Together</t>
        </is>
      </c>
      <c r="G22" s="4" t="inlineStr">
        <is>
          <t>H100 vs Together</t>
        </is>
      </c>
    </row>
    <row r="23" ht="15.75" customHeight="1" s="8">
      <c r="A23" s="7" t="inlineStr">
        <is>
          <t>Qwen3.5-4B</t>
        </is>
      </c>
      <c r="B23" s="7" t="inlineStr">
        <is>
          <t>First token (ms), 1 req/s</t>
        </is>
      </c>
      <c r="C23" s="7" t="n">
        <v>29</v>
      </c>
      <c r="D23" s="7" t="n">
        <v>58</v>
      </c>
      <c r="E23" s="7" t="n">
        <v>157</v>
      </c>
      <c r="F23" s="7" t="inlineStr">
        <is>
          <t>81% faster</t>
        </is>
      </c>
      <c r="G23" s="7" t="inlineStr">
        <is>
          <t>63% faster</t>
        </is>
      </c>
    </row>
    <row r="24" ht="15.75" customHeight="1" s="8">
      <c r="A24" s="7" t="inlineStr">
        <is>
          <t>Qwen3.5-4B</t>
        </is>
      </c>
      <c r="B24" s="7" t="inlineStr">
        <is>
          <t>Median response (s), 1 req/s</t>
        </is>
      </c>
      <c r="C24" s="7" t="n">
        <v>0.92</v>
      </c>
      <c r="D24" s="7" t="n">
        <v>0.83</v>
      </c>
      <c r="E24" s="7" t="n">
        <v>0.79</v>
      </c>
      <c r="F24" s="7" t="inlineStr">
        <is>
          <t>16% slower</t>
        </is>
      </c>
      <c r="G24" s="7" t="inlineStr">
        <is>
          <t>Within 5%</t>
        </is>
      </c>
    </row>
    <row r="25" ht="15.75" customHeight="1" s="8">
      <c r="A25" s="7" t="inlineStr">
        <is>
          <t>Qwen3.5-4B</t>
        </is>
      </c>
      <c r="B25" s="7" t="inlineStr">
        <is>
          <t>Median response (s), 6 req/s</t>
        </is>
      </c>
      <c r="C25" s="7" t="n">
        <v>1.12</v>
      </c>
      <c r="D25" s="7" t="n">
        <v>1</v>
      </c>
      <c r="E25" s="7" t="n">
        <v>1.01</v>
      </c>
      <c r="F25" s="7" t="inlineStr">
        <is>
          <t>11% slower</t>
        </is>
      </c>
      <c r="G25" s="7" t="inlineStr">
        <is>
          <t>Within 5%</t>
        </is>
      </c>
    </row>
    <row r="26" ht="15.75" customHeight="1" s="8">
      <c r="A26" s="7" t="inlineStr">
        <is>
          <t>Qwen3.5-4B</t>
        </is>
      </c>
      <c r="B26" s="7" t="inlineStr">
        <is>
          <t>Slowest 1% (s), 6 req/s</t>
        </is>
      </c>
      <c r="C26" s="7" t="n">
        <v>1.14</v>
      </c>
      <c r="D26" s="7" t="n">
        <v>1.04</v>
      </c>
      <c r="E26" s="7" t="n">
        <v>1.16</v>
      </c>
      <c r="F26" s="7" t="inlineStr">
        <is>
          <t>Within 5%</t>
        </is>
      </c>
      <c r="G26" s="7" t="inlineStr">
        <is>
          <t>10% faster</t>
        </is>
      </c>
    </row>
    <row r="27" ht="15.75" customHeight="1" s="8">
      <c r="A27" s="7" t="inlineStr">
        <is>
          <t>Qwen3.5-4B</t>
        </is>
      </c>
      <c r="B27" s="7" t="inlineStr">
        <is>
          <t>Time per token (ms), 6 req/s</t>
        </is>
      </c>
      <c r="C27" s="7" t="n">
        <v>8.5</v>
      </c>
      <c r="D27" s="7" t="n">
        <v>7.5</v>
      </c>
      <c r="E27" s="7" t="n">
        <v>6.6</v>
      </c>
      <c r="F27" s="7" t="inlineStr">
        <is>
          <t>28% slower</t>
        </is>
      </c>
      <c r="G27" s="7" t="inlineStr">
        <is>
          <t>14% slower</t>
        </is>
      </c>
    </row>
    <row r="28" ht="15.75" customHeight="1" s="8">
      <c r="A28" s="7" t="inlineStr">
        <is>
          <t>Qwen3.5-9B</t>
        </is>
      </c>
      <c r="B28" s="7" t="inlineStr">
        <is>
          <t>First token (ms), 1 req/s</t>
        </is>
      </c>
      <c r="C28" s="7" t="n">
        <v>41</v>
      </c>
      <c r="D28" s="7" t="n">
        <v>60</v>
      </c>
      <c r="E28" s="7" t="n">
        <v>253</v>
      </c>
      <c r="F28" s="7" t="inlineStr">
        <is>
          <t>84% faster</t>
        </is>
      </c>
      <c r="G28" s="7" t="inlineStr">
        <is>
          <t>76% faster</t>
        </is>
      </c>
    </row>
    <row r="29" ht="15.75" customHeight="1" s="8">
      <c r="A29" s="7" t="inlineStr">
        <is>
          <t>Qwen3.5-9B</t>
        </is>
      </c>
      <c r="B29" s="7" t="inlineStr">
        <is>
          <t>Median response (s), 1 req/s</t>
        </is>
      </c>
      <c r="C29" s="7" t="n">
        <v>1.48</v>
      </c>
      <c r="D29" s="7" t="n">
        <v>1.39</v>
      </c>
      <c r="E29" s="7" t="n">
        <v>1.3</v>
      </c>
      <c r="F29" s="7" t="inlineStr">
        <is>
          <t>14% slower</t>
        </is>
      </c>
      <c r="G29" s="7" t="inlineStr">
        <is>
          <t>7% slower</t>
        </is>
      </c>
    </row>
    <row r="30" ht="15.75" customHeight="1" s="8">
      <c r="A30" s="7" t="inlineStr">
        <is>
          <t>Qwen3.5-9B</t>
        </is>
      </c>
      <c r="B30" s="7" t="inlineStr">
        <is>
          <t>Median response (s), 6 req/s</t>
        </is>
      </c>
      <c r="C30" s="7" t="n">
        <v>1.65</v>
      </c>
      <c r="D30" s="7" t="n">
        <v>1.72</v>
      </c>
      <c r="E30" s="7" t="n">
        <v>1.64</v>
      </c>
      <c r="F30" s="7" t="inlineStr">
        <is>
          <t>Within 5%</t>
        </is>
      </c>
      <c r="G30" s="7" t="inlineStr">
        <is>
          <t>Within 5%</t>
        </is>
      </c>
    </row>
    <row r="31" ht="15.75" customHeight="1" s="8">
      <c r="A31" s="7" t="inlineStr">
        <is>
          <t>Qwen3.5-9B</t>
        </is>
      </c>
      <c r="B31" s="7" t="inlineStr">
        <is>
          <t>Slowest 1% (s), 6 req/s</t>
        </is>
      </c>
      <c r="C31" s="7" t="n">
        <v>1.74</v>
      </c>
      <c r="D31" s="7" t="n">
        <v>1.74</v>
      </c>
      <c r="E31" s="7" t="n">
        <v>6.85</v>
      </c>
      <c r="F31" s="7" t="inlineStr">
        <is>
          <t>75% faster</t>
        </is>
      </c>
      <c r="G31" s="7" t="inlineStr">
        <is>
          <t>75% faster</t>
        </is>
      </c>
    </row>
    <row r="32" ht="15.75" customHeight="1" s="8">
      <c r="A32" s="7" t="inlineStr">
        <is>
          <t>Qwen3.5-9B</t>
        </is>
      </c>
      <c r="B32" s="7" t="inlineStr">
        <is>
          <t>Time per token (ms), 6 req/s</t>
        </is>
      </c>
      <c r="C32" s="7" t="n">
        <v>12.7</v>
      </c>
      <c r="D32" s="7" t="n">
        <v>12.9</v>
      </c>
      <c r="E32" s="7" t="n">
        <v>10.8</v>
      </c>
      <c r="F32" s="7" t="inlineStr">
        <is>
          <t>18% slower</t>
        </is>
      </c>
      <c r="G32" s="7" t="inlineStr">
        <is>
          <t>20% slower</t>
        </is>
      </c>
    </row>
    <row r="33" ht="15.75" customHeight="1" s="8">
      <c r="A33" s="7" t="inlineStr">
        <is>
          <t>Qwen3.5-27B</t>
        </is>
      </c>
      <c r="B33" s="7" t="inlineStr">
        <is>
          <t>First token (ms), 1 req/s</t>
        </is>
      </c>
      <c r="C33" s="7" t="n">
        <v>109</v>
      </c>
      <c r="D33" s="7" t="n">
        <v>102</v>
      </c>
      <c r="E33" s="7" t="n">
        <v>277</v>
      </c>
      <c r="F33" s="7" t="inlineStr">
        <is>
          <t>61% faster</t>
        </is>
      </c>
      <c r="G33" s="7" t="inlineStr">
        <is>
          <t>63% faster</t>
        </is>
      </c>
    </row>
    <row r="34" ht="15.75" customHeight="1" s="8">
      <c r="A34" s="7" t="inlineStr">
        <is>
          <t>Qwen3.5-27B</t>
        </is>
      </c>
      <c r="B34" s="7" t="inlineStr">
        <is>
          <t>Median response (s), 1 req/s</t>
        </is>
      </c>
      <c r="C34" s="7" t="n">
        <v>4.7</v>
      </c>
      <c r="D34" s="7" t="n">
        <v>4.35</v>
      </c>
      <c r="E34" s="7" t="n">
        <v>2.08</v>
      </c>
      <c r="F34" s="7" t="inlineStr">
        <is>
          <t>126% slower</t>
        </is>
      </c>
      <c r="G34" s="7" t="inlineStr">
        <is>
          <t>109% slower</t>
        </is>
      </c>
    </row>
    <row r="35" ht="15.75" customHeight="1" s="8">
      <c r="A35" s="7" t="inlineStr">
        <is>
          <t>Qwen3.5-27B</t>
        </is>
      </c>
      <c r="B35" s="7" t="inlineStr">
        <is>
          <t>Median response (s), 6 req/s</t>
        </is>
      </c>
      <c r="C35" s="7" t="n">
        <v>7.12</v>
      </c>
      <c r="D35" s="7" t="n">
        <v>5.52</v>
      </c>
      <c r="E35" s="7" t="n">
        <v>8.18</v>
      </c>
      <c r="F35" s="7" t="inlineStr">
        <is>
          <t>13% faster</t>
        </is>
      </c>
      <c r="G35" s="7" t="inlineStr">
        <is>
          <t>33% faster</t>
        </is>
      </c>
    </row>
    <row r="36" ht="15.75" customHeight="1" s="8">
      <c r="A36" s="7" t="inlineStr">
        <is>
          <t>Qwen3.5-27B</t>
        </is>
      </c>
      <c r="B36" s="7" t="inlineStr">
        <is>
          <t>Slowest 1% (s), 6 req/s</t>
        </is>
      </c>
      <c r="C36" s="7" t="n">
        <v>7.58</v>
      </c>
      <c r="D36" s="7" t="n">
        <v>5.83</v>
      </c>
      <c r="E36" s="7" t="n">
        <v>11.31</v>
      </c>
      <c r="F36" s="7" t="inlineStr">
        <is>
          <t>33% faster</t>
        </is>
      </c>
      <c r="G36" s="7" t="inlineStr">
        <is>
          <t>48% faster</t>
        </is>
      </c>
    </row>
    <row r="37" ht="15.75" customHeight="1" s="8">
      <c r="A37" s="7" t="inlineStr">
        <is>
          <t>Qwen3.5-27B</t>
        </is>
      </c>
      <c r="B37" s="7" t="inlineStr">
        <is>
          <t>Time per token (ms), 6 req/s</t>
        </is>
      </c>
      <c r="C37" s="7" t="n">
        <v>55</v>
      </c>
      <c r="D37" s="7" t="n">
        <v>42.8</v>
      </c>
      <c r="E37" s="7" t="n">
        <v>62.8</v>
      </c>
      <c r="F37" s="7" t="inlineStr">
        <is>
          <t>12% faster</t>
        </is>
      </c>
      <c r="G37" s="7" t="inlineStr">
        <is>
          <t>32% faster</t>
        </is>
      </c>
    </row>
    <row r="38" ht="15.75" customHeight="1" s="8">
      <c r="A38" s="7" t="inlineStr">
        <is>
          <t>gpt-oss-20B</t>
        </is>
      </c>
      <c r="B38" s="7" t="inlineStr">
        <is>
          <t>First token (ms), 1 req/s</t>
        </is>
      </c>
      <c r="C38" s="7" t="n">
        <v>109</v>
      </c>
      <c r="D38" s="7" t="n">
        <v>109</v>
      </c>
      <c r="E38" s="7" t="n">
        <v>235</v>
      </c>
      <c r="F38" s="7" t="inlineStr">
        <is>
          <t>54% faster</t>
        </is>
      </c>
      <c r="G38" s="7" t="inlineStr">
        <is>
          <t>54% faster</t>
        </is>
      </c>
    </row>
    <row r="39" ht="15.75" customHeight="1" s="8">
      <c r="A39" s="7" t="inlineStr">
        <is>
          <t>gpt-oss-20B</t>
        </is>
      </c>
      <c r="B39" s="7" t="inlineStr">
        <is>
          <t>Median response (s), 1 req/s</t>
        </is>
      </c>
      <c r="C39" s="7" t="n">
        <v>0.55</v>
      </c>
      <c r="D39" s="7" t="n">
        <v>0.54</v>
      </c>
      <c r="E39" s="7" t="n">
        <v>0.6899999999999999</v>
      </c>
      <c r="F39" s="7" t="inlineStr">
        <is>
          <t>20% faster</t>
        </is>
      </c>
      <c r="G39" s="7" t="inlineStr">
        <is>
          <t>21% faster</t>
        </is>
      </c>
    </row>
    <row r="40" ht="15.75" customHeight="1" s="8">
      <c r="A40" s="7" t="inlineStr">
        <is>
          <t>gpt-oss-20B</t>
        </is>
      </c>
      <c r="B40" s="7" t="inlineStr">
        <is>
          <t>Median response (s), 6 req/s</t>
        </is>
      </c>
      <c r="C40" s="7" t="n">
        <v>0.8100000000000001</v>
      </c>
      <c r="D40" s="7" t="n">
        <v>1.01</v>
      </c>
      <c r="E40" s="7" t="n">
        <v>0.87</v>
      </c>
      <c r="F40" s="7" t="inlineStr">
        <is>
          <t>7% faster</t>
        </is>
      </c>
      <c r="G40" s="7" t="inlineStr">
        <is>
          <t>16% slower</t>
        </is>
      </c>
    </row>
    <row r="41" ht="15.75" customHeight="1" s="8">
      <c r="A41" s="7" t="inlineStr">
        <is>
          <t>gpt-oss-20B</t>
        </is>
      </c>
      <c r="B41" s="7" t="inlineStr">
        <is>
          <t>Slowest 1% (s), 6 req/s</t>
        </is>
      </c>
      <c r="C41" s="7" t="n">
        <v>0.99</v>
      </c>
      <c r="D41" s="7" t="n">
        <v>1.06</v>
      </c>
      <c r="E41" s="7" t="n">
        <v>1.15</v>
      </c>
      <c r="F41" s="7" t="inlineStr">
        <is>
          <t>14% faster</t>
        </is>
      </c>
      <c r="G41" s="7" t="inlineStr">
        <is>
          <t>8% faster</t>
        </is>
      </c>
    </row>
    <row r="42" ht="15.75" customHeight="1" s="8">
      <c r="A42" s="7" t="inlineStr">
        <is>
          <t>gpt-oss-20B</t>
        </is>
      </c>
      <c r="B42" s="7" t="inlineStr">
        <is>
          <t>Time per token (ms), 6 req/s</t>
        </is>
      </c>
      <c r="C42" s="7" t="n">
        <v>4.7</v>
      </c>
      <c r="D42" s="7" t="n">
        <v>5.7</v>
      </c>
      <c r="E42" s="7" t="n">
        <v>5</v>
      </c>
      <c r="F42" s="7" t="inlineStr">
        <is>
          <t>7% faster</t>
        </is>
      </c>
      <c r="G42" s="7" t="inlineStr">
        <is>
          <t>13% slower</t>
        </is>
      </c>
    </row>
    <row r="43" ht="15.75" customHeight="1" s="8"/>
    <row r="44" ht="15.75" customHeight="1" s="8">
      <c r="A44" s="2" t="inlineStr">
        <is>
          <t>3. Fine-tuning: time from submitting the job to a trained model (min)</t>
        </is>
      </c>
    </row>
    <row r="45" ht="15.75" customHeight="1" s="8">
      <c r="A45" s="4" t="inlineStr">
        <is>
          <t>Model</t>
        </is>
      </c>
      <c r="B45" s="4" t="inlineStr">
        <is>
          <t>Rows</t>
        </is>
      </c>
      <c r="C45" s="4" t="inlineStr">
        <is>
          <t>A100 total (min)</t>
        </is>
      </c>
      <c r="D45" s="4" t="inlineStr">
        <is>
          <t>H100 total (min)</t>
        </is>
      </c>
      <c r="E45" s="4" t="inlineStr">
        <is>
          <t>Together total (min)</t>
        </is>
      </c>
      <c r="F45" s="4" t="inlineStr">
        <is>
          <t>Sooner</t>
        </is>
      </c>
    </row>
    <row r="46" ht="15.75" customHeight="1" s="8">
      <c r="A46" s="7" t="inlineStr">
        <is>
          <t>Qwen3.5-4B</t>
        </is>
      </c>
      <c r="B46" s="7" t="inlineStr">
        <is>
          <t>1k</t>
        </is>
      </c>
      <c r="C46" s="7" t="n">
        <v>1.2</v>
      </c>
      <c r="D46" s="7" t="n">
        <v>1.4</v>
      </c>
      <c r="E46" s="7" t="n">
        <v>16.1</v>
      </c>
      <c r="F46" s="7" t="inlineStr">
        <is>
          <t>Ours</t>
        </is>
      </c>
    </row>
    <row r="47" ht="15.75" customHeight="1" s="8">
      <c r="A47" s="7" t="inlineStr">
        <is>
          <t>Qwen3.5-4B</t>
        </is>
      </c>
      <c r="B47" s="7" t="inlineStr">
        <is>
          <t>5k</t>
        </is>
      </c>
      <c r="C47" s="7" t="n">
        <v>7.1</v>
      </c>
      <c r="D47" s="7" t="n">
        <v>4.7</v>
      </c>
      <c r="E47" s="7" t="n">
        <v>12.7</v>
      </c>
      <c r="F47" s="7" t="inlineStr">
        <is>
          <t>Ours</t>
        </is>
      </c>
    </row>
    <row r="48" ht="15.75" customHeight="1" s="8">
      <c r="A48" s="7" t="inlineStr">
        <is>
          <t>Qwen3.5-4B</t>
        </is>
      </c>
      <c r="B48" s="7" t="inlineStr">
        <is>
          <t>10k</t>
        </is>
      </c>
      <c r="C48" s="7" t="n">
        <v>10.9</v>
      </c>
      <c r="D48" s="7" t="n">
        <v>9.4</v>
      </c>
      <c r="E48" s="7" t="n">
        <v>19.3</v>
      </c>
      <c r="F48" s="7" t="inlineStr">
        <is>
          <t>Ours</t>
        </is>
      </c>
    </row>
    <row r="49" ht="15.75" customHeight="1" s="8">
      <c r="A49" s="7" t="inlineStr">
        <is>
          <t>Qwen3.5-9B</t>
        </is>
      </c>
      <c r="B49" s="7" t="inlineStr">
        <is>
          <t>1k</t>
        </is>
      </c>
      <c r="C49" s="7" t="n">
        <v>1.6</v>
      </c>
      <c r="D49" s="7" t="n">
        <v>1.3</v>
      </c>
      <c r="E49" s="7" t="n">
        <v>18.5</v>
      </c>
      <c r="F49" s="7" t="inlineStr">
        <is>
          <t>Ours</t>
        </is>
      </c>
    </row>
    <row r="50" ht="15.75" customHeight="1" s="8">
      <c r="A50" s="7" t="inlineStr">
        <is>
          <t>Qwen3.5-9B</t>
        </is>
      </c>
      <c r="B50" s="7" t="inlineStr">
        <is>
          <t>5k</t>
        </is>
      </c>
      <c r="C50" s="7" t="n">
        <v>7.5</v>
      </c>
      <c r="D50" s="7" t="n">
        <v>6.6</v>
      </c>
      <c r="E50" s="7" t="n">
        <v>16.8</v>
      </c>
      <c r="F50" s="7" t="inlineStr">
        <is>
          <t>Ours</t>
        </is>
      </c>
    </row>
    <row r="51" ht="15.75" customHeight="1" s="8">
      <c r="A51" s="7" t="inlineStr">
        <is>
          <t>Qwen3.5-9B</t>
        </is>
      </c>
      <c r="B51" s="7" t="inlineStr">
        <is>
          <t>10k</t>
        </is>
      </c>
      <c r="C51" s="7" t="n">
        <v>15</v>
      </c>
      <c r="D51" s="7" t="n">
        <v>13.3</v>
      </c>
      <c r="E51" s="7" t="n">
        <v>27.7</v>
      </c>
      <c r="F51" s="7" t="inlineStr">
        <is>
          <t>Ours</t>
        </is>
      </c>
    </row>
    <row r="52" ht="15.75" customHeight="1" s="8">
      <c r="A52" s="7" t="inlineStr">
        <is>
          <t>Qwen3.5-27B</t>
        </is>
      </c>
      <c r="B52" s="7" t="inlineStr">
        <is>
          <t>1k</t>
        </is>
      </c>
      <c r="C52" s="7" t="n">
        <v>6.1</v>
      </c>
      <c r="D52" s="7" t="n">
        <v>6.8</v>
      </c>
      <c r="E52" s="7" t="n">
        <v>23.9</v>
      </c>
      <c r="F52" s="7" t="inlineStr">
        <is>
          <t>Ours</t>
        </is>
      </c>
    </row>
    <row r="53" ht="15.75" customHeight="1" s="8">
      <c r="A53" s="7" t="inlineStr">
        <is>
          <t>Qwen3.5-27B</t>
        </is>
      </c>
      <c r="B53" s="7" t="inlineStr">
        <is>
          <t>5k</t>
        </is>
      </c>
      <c r="C53" s="7" t="n">
        <v>30.2</v>
      </c>
      <c r="D53" s="7" t="n">
        <v>27.4</v>
      </c>
      <c r="E53" s="7" t="n">
        <v>41</v>
      </c>
      <c r="F53" s="7" t="inlineStr">
        <is>
          <t>Ours</t>
        </is>
      </c>
    </row>
    <row r="54" ht="15.75" customHeight="1" s="8">
      <c r="A54" s="7" t="inlineStr">
        <is>
          <t>Qwen3.5-27B</t>
        </is>
      </c>
      <c r="B54" s="7" t="inlineStr">
        <is>
          <t>10k</t>
        </is>
      </c>
      <c r="C54" s="7" t="n">
        <v>59.4</v>
      </c>
      <c r="D54" s="7" t="n">
        <v>54.9</v>
      </c>
      <c r="E54" s="7" t="n">
        <v>41.4</v>
      </c>
      <c r="F54" s="7" t="inlineStr">
        <is>
          <t>Together</t>
        </is>
      </c>
    </row>
    <row r="55" ht="15" customHeight="1" s="8">
      <c r="A55" s="7" t="inlineStr">
        <is>
          <t>gpt-oss-20B</t>
        </is>
      </c>
      <c r="B55" s="7" t="inlineStr">
        <is>
          <t>1k</t>
        </is>
      </c>
      <c r="C55" s="7" t="n">
        <v>7</v>
      </c>
      <c r="D55" s="7" t="n">
        <v>4.8</v>
      </c>
      <c r="E55" s="7" t="inlineStr">
        <is>
          <t>Pending</t>
        </is>
      </c>
      <c r="F55" s="7" t="inlineStr">
        <is>
          <t>N/A - Together job pending</t>
        </is>
      </c>
    </row>
    <row r="56" ht="15.75" customHeight="1" s="8">
      <c r="A56" s="7" t="inlineStr">
        <is>
          <t>gpt-oss-20B</t>
        </is>
      </c>
      <c r="B56" s="7" t="inlineStr">
        <is>
          <t>5k</t>
        </is>
      </c>
      <c r="C56" s="7" t="n">
        <v>25.9</v>
      </c>
      <c r="D56" s="7" t="n">
        <v>21.3</v>
      </c>
      <c r="E56" s="7" t="n">
        <v>10.8</v>
      </c>
      <c r="F56" s="7" t="inlineStr">
        <is>
          <t>Together</t>
        </is>
      </c>
    </row>
    <row r="57" ht="15.75" customHeight="1" s="8">
      <c r="A57" s="7" t="inlineStr">
        <is>
          <t>gpt-oss-20B</t>
        </is>
      </c>
      <c r="B57" s="7" t="inlineStr">
        <is>
          <t>10k</t>
        </is>
      </c>
      <c r="C57" s="7" t="n">
        <v>49</v>
      </c>
      <c r="D57" s="7" t="n">
        <v>41.3</v>
      </c>
      <c r="E57" s="7" t="inlineStr">
        <is>
          <t>Pending</t>
        </is>
      </c>
      <c r="F57" s="7" t="inlineStr">
        <is>
          <t>N/A - Together job pending</t>
        </is>
      </c>
    </row>
    <row r="58" ht="15.75" customHeight="1" s="8">
      <c r="A58" s="9" t="inlineStr">
        <is>
          <t>Local = model loading + training. Together = job created to finished (queue + setup + training + saving).</t>
        </is>
      </c>
    </row>
    <row r="59" ht="15.75" customHeight="1" s="8"/>
    <row r="60" ht="15.75" customHeight="1" s="8">
      <c r="A60" s="2" t="inlineStr">
        <is>
          <t>4. Fine-tuning: training phase only (min)</t>
        </is>
      </c>
    </row>
    <row r="61" ht="15.75" customHeight="1" s="8">
      <c r="A61" s="4" t="inlineStr">
        <is>
          <t>Model</t>
        </is>
      </c>
      <c r="B61" s="4" t="inlineStr">
        <is>
          <t>Rows</t>
        </is>
      </c>
      <c r="C61" s="4" t="inlineStr">
        <is>
          <t>A100 training (min)</t>
        </is>
      </c>
      <c r="D61" s="4" t="inlineStr">
        <is>
          <t>H100 training (min)</t>
        </is>
      </c>
      <c r="E61" s="4" t="inlineStr">
        <is>
          <t>Together training (min)</t>
        </is>
      </c>
      <c r="F61" s="4" t="inlineStr">
        <is>
          <t>Faster</t>
        </is>
      </c>
    </row>
    <row r="62" ht="15.75" customHeight="1" s="8">
      <c r="A62" s="7" t="inlineStr">
        <is>
          <t>Qwen3.5-4B</t>
        </is>
      </c>
      <c r="B62" s="7" t="inlineStr">
        <is>
          <t>1k</t>
        </is>
      </c>
      <c r="C62" s="7" t="n">
        <v>1</v>
      </c>
      <c r="D62" s="7" t="n">
        <v>0.8</v>
      </c>
      <c r="E62" s="7" t="n">
        <v>4.9</v>
      </c>
      <c r="F62" s="7" t="inlineStr">
        <is>
          <t>Ours (Together 1k distorted by fixed overhead)</t>
        </is>
      </c>
    </row>
    <row r="63" ht="15.75" customHeight="1" s="8">
      <c r="A63" s="7" t="inlineStr">
        <is>
          <t>Qwen3.5-4B</t>
        </is>
      </c>
      <c r="B63" s="7" t="inlineStr">
        <is>
          <t>5k</t>
        </is>
      </c>
      <c r="C63" s="7" t="n">
        <v>5.3</v>
      </c>
      <c r="D63" s="7" t="n">
        <v>4.6</v>
      </c>
      <c r="E63" s="7" t="n">
        <v>2.6</v>
      </c>
      <c r="F63" s="7" t="inlineStr">
        <is>
          <t>Together</t>
        </is>
      </c>
    </row>
    <row r="64" ht="15.75" customHeight="1" s="8">
      <c r="A64" s="7" t="inlineStr">
        <is>
          <t>Qwen3.5-4B</t>
        </is>
      </c>
      <c r="B64" s="7" t="inlineStr">
        <is>
          <t>10k</t>
        </is>
      </c>
      <c r="C64" s="7" t="n">
        <v>10.7</v>
      </c>
      <c r="D64" s="7" t="n">
        <v>9.300000000000001</v>
      </c>
      <c r="E64" s="7" t="n">
        <v>3.1</v>
      </c>
      <c r="F64" s="7" t="inlineStr">
        <is>
          <t>Together</t>
        </is>
      </c>
    </row>
    <row r="65" ht="15.75" customHeight="1" s="8">
      <c r="A65" s="7" t="inlineStr">
        <is>
          <t>Qwen3.5-9B</t>
        </is>
      </c>
      <c r="B65" s="7" t="inlineStr">
        <is>
          <t>1k</t>
        </is>
      </c>
      <c r="C65" s="7" t="n">
        <v>1.4</v>
      </c>
      <c r="D65" s="7" t="n">
        <v>1.1</v>
      </c>
      <c r="E65" s="7" t="n">
        <v>5.1</v>
      </c>
      <c r="F65" s="7" t="inlineStr">
        <is>
          <t>Ours (Together 1k distorted by fixed overhead)</t>
        </is>
      </c>
    </row>
    <row r="66" ht="15.75" customHeight="1" s="8">
      <c r="A66" s="7" t="inlineStr">
        <is>
          <t>Qwen3.5-9B</t>
        </is>
      </c>
      <c r="B66" s="7" t="inlineStr">
        <is>
          <t>5k</t>
        </is>
      </c>
      <c r="C66" s="7" t="n">
        <v>7.3</v>
      </c>
      <c r="D66" s="7" t="n">
        <v>6.5</v>
      </c>
      <c r="E66" s="7" t="n">
        <v>3</v>
      </c>
      <c r="F66" s="7" t="inlineStr">
        <is>
          <t>Together</t>
        </is>
      </c>
    </row>
    <row r="67" ht="15.75" customHeight="1" s="8">
      <c r="A67" s="7" t="inlineStr">
        <is>
          <t>Qwen3.5-9B</t>
        </is>
      </c>
      <c r="B67" s="7" t="inlineStr">
        <is>
          <t>10k</t>
        </is>
      </c>
      <c r="C67" s="7" t="n">
        <v>14.8</v>
      </c>
      <c r="D67" s="7" t="n">
        <v>13.2</v>
      </c>
      <c r="E67" s="7" t="n">
        <v>3.5</v>
      </c>
      <c r="F67" s="7" t="inlineStr">
        <is>
          <t>Together</t>
        </is>
      </c>
    </row>
    <row r="68" ht="15.75" customHeight="1" s="8">
      <c r="A68" s="7" t="inlineStr">
        <is>
          <t>Qwen3.5-27B</t>
        </is>
      </c>
      <c r="B68" s="7" t="inlineStr">
        <is>
          <t>1k</t>
        </is>
      </c>
      <c r="C68" s="7" t="n">
        <v>5.4</v>
      </c>
      <c r="D68" s="7" t="n">
        <v>4.8</v>
      </c>
      <c r="E68" s="7" t="n">
        <v>6.3</v>
      </c>
      <c r="F68" s="7" t="inlineStr">
        <is>
          <t>Ours (Together 1k distorted by fixed overhead)</t>
        </is>
      </c>
    </row>
    <row r="69" ht="15.75" customHeight="1" s="8">
      <c r="A69" s="7" t="inlineStr">
        <is>
          <t>Qwen3.5-27B</t>
        </is>
      </c>
      <c r="B69" s="7" t="inlineStr">
        <is>
          <t>5k</t>
        </is>
      </c>
      <c r="C69" s="7" t="n">
        <v>29</v>
      </c>
      <c r="D69" s="7" t="n">
        <v>26.9</v>
      </c>
      <c r="E69" s="7" t="n">
        <v>7.2</v>
      </c>
      <c r="F69" s="7" t="inlineStr">
        <is>
          <t>Together</t>
        </is>
      </c>
    </row>
    <row r="70" ht="15.75" customHeight="1" s="8">
      <c r="A70" s="7" t="inlineStr">
        <is>
          <t>Qwen3.5-27B</t>
        </is>
      </c>
      <c r="B70" s="7" t="inlineStr">
        <is>
          <t>10k</t>
        </is>
      </c>
      <c r="C70" s="7" t="n">
        <v>58.7</v>
      </c>
      <c r="D70" s="7" t="n">
        <v>54.4</v>
      </c>
      <c r="E70" s="7" t="n">
        <v>10.9</v>
      </c>
      <c r="F70" s="7" t="inlineStr">
        <is>
          <t>Together</t>
        </is>
      </c>
    </row>
    <row r="71" ht="15.75" customHeight="1" s="8">
      <c r="A71" s="7" t="inlineStr">
        <is>
          <t>gpt-oss-20B</t>
        </is>
      </c>
      <c r="B71" s="7" t="inlineStr">
        <is>
          <t>1k</t>
        </is>
      </c>
      <c r="C71" s="7" t="n">
        <v>4.63</v>
      </c>
      <c r="D71" s="7" t="n">
        <v>3.89</v>
      </c>
      <c r="E71" s="7" t="inlineStr">
        <is>
          <t>Pending</t>
        </is>
      </c>
      <c r="F71" s="7" t="inlineStr">
        <is>
          <t>Together job not run (insufficient balance)</t>
        </is>
      </c>
    </row>
    <row r="72" ht="15.75" customHeight="1" s="8">
      <c r="A72" s="7" t="inlineStr">
        <is>
          <t>gpt-oss-20B</t>
        </is>
      </c>
      <c r="B72" s="7" t="inlineStr">
        <is>
          <t>5k</t>
        </is>
      </c>
      <c r="C72" s="7" t="n">
        <v>23.59</v>
      </c>
      <c r="D72" s="7" t="n">
        <v>20.41</v>
      </c>
      <c r="E72" s="7" t="n">
        <v>4.93</v>
      </c>
      <c r="F72" s="7" t="inlineStr">
        <is>
          <t>Together (training phase only; see caveat on raw speed)</t>
        </is>
      </c>
    </row>
    <row r="73" ht="15.75" customHeight="1" s="8">
      <c r="A73" s="7" t="inlineStr">
        <is>
          <t>gpt-oss-20B</t>
        </is>
      </c>
      <c r="B73" s="7" t="inlineStr">
        <is>
          <t>10k</t>
        </is>
      </c>
      <c r="C73" s="7" t="n">
        <v>46.72</v>
      </c>
      <c r="D73" s="7" t="n">
        <v>40.44</v>
      </c>
      <c r="E73" s="7" t="inlineStr">
        <is>
          <t>Pending</t>
        </is>
      </c>
      <c r="F73" s="7" t="inlineStr">
        <is>
          <t>Together job not run (insufficient balance)</t>
        </is>
      </c>
    </row>
    <row r="74" ht="15.75" customHeight="1" s="8"/>
    <row r="75" ht="15.75" customHeight="1" s="8">
      <c r="A75" s="2" t="inlineStr">
        <is>
          <t>5. Fine-tuning price per job</t>
        </is>
      </c>
    </row>
    <row r="76" ht="15.75" customHeight="1" s="8">
      <c r="A76" s="4" t="inlineStr">
        <is>
          <t>Model</t>
        </is>
      </c>
      <c r="B76" s="4" t="inlineStr">
        <is>
          <t>Rows</t>
        </is>
      </c>
      <c r="C76" s="4" t="inlineStr">
        <is>
          <t>A100 ($ per job)</t>
        </is>
      </c>
      <c r="D76" s="4" t="inlineStr">
        <is>
          <t>H100 ($ per job)</t>
        </is>
      </c>
      <c r="E76" s="4" t="inlineStr">
        <is>
          <t>Together ($ per job)</t>
        </is>
      </c>
      <c r="F76" s="4" t="inlineStr">
        <is>
          <t>Basis</t>
        </is>
      </c>
    </row>
    <row r="77" ht="15.75" customHeight="1" s="8">
      <c r="A77" s="7" t="inlineStr">
        <is>
          <t>Qwen3.5-4B</t>
        </is>
      </c>
      <c r="B77" s="7" t="inlineStr">
        <is>
          <t>1k</t>
        </is>
      </c>
      <c r="C77" s="7" t="n">
        <v>0.034</v>
      </c>
      <c r="D77" s="7" t="n">
        <v>0.044</v>
      </c>
      <c r="E77" s="7" t="n">
        <v>4</v>
      </c>
      <c r="F77" s="7" t="inlineStr">
        <is>
          <t>Ours: GPU-hour rate x (model load + training time). Together: $4.00 per job (billed)</t>
        </is>
      </c>
    </row>
    <row r="78" ht="15.75" customHeight="1" s="8">
      <c r="A78" s="7" t="inlineStr">
        <is>
          <t>Qwen3.5-4B</t>
        </is>
      </c>
      <c r="B78" s="7" t="inlineStr">
        <is>
          <t>5k</t>
        </is>
      </c>
      <c r="C78" s="7" t="n">
        <v>0.203</v>
      </c>
      <c r="D78" s="7" t="n">
        <v>0.149</v>
      </c>
      <c r="E78" s="7" t="n">
        <v>4</v>
      </c>
      <c r="F78" s="7" t="inlineStr">
        <is>
          <t>Ours: GPU-hour rate x (model load + training time). Together: $4.00 per job (billed)</t>
        </is>
      </c>
    </row>
    <row r="79" ht="15.75" customHeight="1" s="8">
      <c r="A79" s="7" t="inlineStr">
        <is>
          <t>Qwen3.5-4B</t>
        </is>
      </c>
      <c r="B79" s="7" t="inlineStr">
        <is>
          <t>10k</t>
        </is>
      </c>
      <c r="C79" s="7" t="n">
        <v>0.311</v>
      </c>
      <c r="D79" s="7" t="n">
        <v>0.299</v>
      </c>
      <c r="E79" s="7" t="n">
        <v>4</v>
      </c>
      <c r="F79" s="7" t="inlineStr">
        <is>
          <t>Ours: GPU-hour rate x (model load + training time). Together: $4.00 per job (billed)</t>
        </is>
      </c>
    </row>
    <row r="80" ht="15.75" customHeight="1" s="8">
      <c r="A80" s="7" t="inlineStr">
        <is>
          <t>Qwen3.5-9B</t>
        </is>
      </c>
      <c r="B80" s="7" t="inlineStr">
        <is>
          <t>1k</t>
        </is>
      </c>
      <c r="C80" s="7" t="n">
        <v>0.045</v>
      </c>
      <c r="D80" s="7" t="n">
        <v>0.04</v>
      </c>
      <c r="E80" s="7" t="n">
        <v>4</v>
      </c>
      <c r="F80" s="7" t="inlineStr">
        <is>
          <t>Ours: GPU-hour rate x (model load + training time). Together: $4.00 per job (billed)</t>
        </is>
      </c>
    </row>
    <row r="81" ht="15.75" customHeight="1" s="8">
      <c r="A81" s="7" t="inlineStr">
        <is>
          <t>Qwen3.5-9B</t>
        </is>
      </c>
      <c r="B81" s="7" t="inlineStr">
        <is>
          <t>5k</t>
        </is>
      </c>
      <c r="C81" s="7" t="n">
        <v>0.214</v>
      </c>
      <c r="D81" s="7" t="n">
        <v>0.211</v>
      </c>
      <c r="E81" s="7" t="n">
        <v>4</v>
      </c>
      <c r="F81" s="7" t="inlineStr">
        <is>
          <t>Ours: GPU-hour rate x (model load + training time). Together: $4.00 per job (billed)</t>
        </is>
      </c>
    </row>
    <row r="82" ht="15" customHeight="1" s="8">
      <c r="A82" s="7" t="inlineStr">
        <is>
          <t>Qwen3.5-9B</t>
        </is>
      </c>
      <c r="B82" s="7" t="inlineStr">
        <is>
          <t>10k</t>
        </is>
      </c>
      <c r="C82" s="7" t="n">
        <v>0.429</v>
      </c>
      <c r="D82" s="7" t="n">
        <v>0.425</v>
      </c>
      <c r="E82" s="7" t="n">
        <v>4</v>
      </c>
      <c r="F82" s="7" t="inlineStr">
        <is>
          <t>Ours: GPU-hour rate x (model load + training time). Together: $4.00 per job (billed)</t>
        </is>
      </c>
    </row>
    <row r="83" ht="15" customHeight="1" s="8">
      <c r="A83" s="7" t="inlineStr">
        <is>
          <t>Qwen3.5-27B</t>
        </is>
      </c>
      <c r="B83" s="7" t="inlineStr">
        <is>
          <t>1k</t>
        </is>
      </c>
      <c r="C83" s="7" t="n">
        <v>0.173</v>
      </c>
      <c r="D83" s="7" t="n">
        <v>0.217</v>
      </c>
      <c r="E83" s="7" t="n">
        <v>4</v>
      </c>
      <c r="F83" s="7" t="inlineStr">
        <is>
          <t>Ours: GPU-hour rate x (model load + training time). Together: $4.00 per job (billed)</t>
        </is>
      </c>
    </row>
    <row r="84" ht="15" customHeight="1" s="8">
      <c r="A84" s="7" t="inlineStr">
        <is>
          <t>Qwen3.5-27B</t>
        </is>
      </c>
      <c r="B84" s="7" t="inlineStr">
        <is>
          <t>5k</t>
        </is>
      </c>
      <c r="C84" s="7" t="n">
        <v>0.862</v>
      </c>
      <c r="D84" s="7" t="n">
        <v>0.875</v>
      </c>
      <c r="E84" s="7" t="n">
        <v>4</v>
      </c>
      <c r="F84" s="7" t="inlineStr">
        <is>
          <t>Ours: GPU-hour rate x (model load + training time). Together: $4.00 per job (billed)</t>
        </is>
      </c>
    </row>
    <row r="85" ht="30" customHeight="1" s="8">
      <c r="A85" s="7" t="inlineStr">
        <is>
          <t>Qwen3.5-27B</t>
        </is>
      </c>
      <c r="B85" s="7" t="inlineStr">
        <is>
          <t>10k</t>
        </is>
      </c>
      <c r="C85" s="7" t="n">
        <v>1.694</v>
      </c>
      <c r="D85" s="7" t="n">
        <v>1.756</v>
      </c>
      <c r="E85" s="7" t="n">
        <v>4</v>
      </c>
      <c r="F85" s="7" t="inlineStr">
        <is>
          <t>Ours: GPU-hour rate x (model load + training time). Together: $4.00 per job (billed)</t>
        </is>
      </c>
    </row>
    <row r="86" ht="30" customHeight="1" s="8">
      <c r="A86" s="7" t="inlineStr">
        <is>
          <t>gpt-oss-20B</t>
        </is>
      </c>
      <c r="B86" s="7" t="inlineStr">
        <is>
          <t>1k</t>
        </is>
      </c>
      <c r="C86" s="7" t="n">
        <v>0.198</v>
      </c>
      <c r="D86" s="7" t="n">
        <v>0.153</v>
      </c>
      <c r="E86" s="7" t="inlineStr">
        <is>
          <t>Pending</t>
        </is>
      </c>
      <c r="F86" s="7" t="inlineStr">
        <is>
          <t>Ours: GPU-hour rate x (model load + training time). Together: job not run (insufficient balance)</t>
        </is>
      </c>
    </row>
    <row r="87" ht="30" customHeight="1" s="8">
      <c r="A87" s="7" t="inlineStr">
        <is>
          <t>gpt-oss-20B</t>
        </is>
      </c>
      <c r="B87" s="7" t="inlineStr">
        <is>
          <t>5k</t>
        </is>
      </c>
      <c r="C87" s="7" t="n">
        <v>0.738</v>
      </c>
      <c r="D87" s="7" t="n">
        <v>0.6820000000000001</v>
      </c>
      <c r="E87" s="7" t="n">
        <v>4</v>
      </c>
      <c r="F87" s="7" t="inlineStr">
        <is>
          <t>Ours: GPU-hour rate x (model load + training time). Together: $4.00 per job (billed)</t>
        </is>
      </c>
    </row>
    <row r="88" ht="15" customHeight="1" s="8">
      <c r="A88" s="7" t="inlineStr">
        <is>
          <t>gpt-oss-20B</t>
        </is>
      </c>
      <c r="B88" s="7" t="inlineStr">
        <is>
          <t>10k</t>
        </is>
      </c>
      <c r="C88" s="7" t="n">
        <v>1.396</v>
      </c>
      <c r="D88" s="7" t="n">
        <v>1.323</v>
      </c>
      <c r="E88" s="7" t="inlineStr">
        <is>
          <t>Pending</t>
        </is>
      </c>
      <c r="F88" s="7" t="inlineStr">
        <is>
          <t>Ours: GPU-hour rate x (model load + training time). Together: job not run (insufficient balance)</t>
        </is>
      </c>
    </row>
    <row r="89" ht="15.75" customHeight="1" s="8"/>
    <row r="90" ht="15.75" customHeight="1" s="8">
      <c r="A90" s="2" t="inlineStr">
        <is>
          <t>What we can claim</t>
        </is>
      </c>
    </row>
    <row r="91" ht="30" customHeight="1" s="8">
      <c r="A91" s="9" t="inlineStr">
        <is>
          <t>Serving cost: $0.27 to $0.50 per million output tokens on our GPUs for every model tested; Together's 4B endpoint is $0.42 to $0.99.</t>
        </is>
      </c>
    </row>
    <row r="92" ht="30" customHeight="1" s="8">
      <c r="A92" s="9" t="inlineStr">
        <is>
          <t>First token: 2 to 6x sooner than Together on every model (local: 29 to 109 ms; Together: 157 to 277 ms).</t>
        </is>
      </c>
    </row>
    <row r="93" ht="30" customHeight="1" s="8">
      <c r="A93" s="9" t="inlineStr">
        <is>
          <t>Steadier tail latency at 6 requests/s: 9B 1.7 s vs 6.9 s, 27B 5.8 s vs 11.3 s, gpt-oss 1.0 s vs 1.2 s.</t>
        </is>
      </c>
    </row>
    <row r="94" ht="15" customHeight="1" s="8">
      <c r="A94" s="9" t="inlineStr">
        <is>
          <t>Median response time at 6 requests/s: level with Together for 4B and 9B (best local GPU within 1%), ahead on gpt-oss (A100 0.81 s vs 0.87 s) and 27B (H100 5.5 s vs 8.2 s).</t>
        </is>
      </c>
    </row>
    <row r="95" ht="15" customHeight="1" s="8">
      <c r="A95" s="9" t="inlineStr">
        <is>
          <t>Fine-tune turnaround: for 4B and 9B at every size, and 27B up to 5k rows, our GPUs return a trained model sooner end to end than Together (which adds queue and setup time).</t>
        </is>
      </c>
    </row>
    <row r="96" ht="15.75" customHeight="1" s="8">
      <c r="A96" s="9" t="inlineStr">
        <is>
          <t>Fine-tune price: $0.034 to $1.76 per job on our GPUs vs Together's $4.00 per job (4B, 9B, 27B), i.e. 2.3x (27B 10k on H100) to 118x (4B 1k on A100) cheaper.</t>
        </is>
      </c>
    </row>
    <row r="97" ht="15.75" customHeight="1" s="8">
      <c r="A97" s="9" t="inlineStr">
        <is>
          <t>Local fine-tuning is fully observable: loss curve, step time, GPU memory. Together exposes only job time, steps and token count.</t>
        </is>
      </c>
    </row>
    <row r="99" ht="30" customHeight="1" s="8">
      <c r="A99" s="2" t="inlineStr">
        <is>
          <t>What we cannot claim</t>
        </is>
      </c>
    </row>
    <row r="100" ht="15" customHeight="1" s="8">
      <c r="A100" s="9" t="inlineStr">
        <is>
          <t>That we are faster at raw training: Together's training phase is 2 to 5x faster on 5k/10k jobs. Together does not disclose its hardware, so this is not a GPU-vs-GPU result.</t>
        </is>
      </c>
    </row>
    <row r="101" ht="15" customHeight="1" s="8">
      <c r="A101" s="9" t="inlineStr">
        <is>
          <t>Higher peak serving throughput: Together reached 3,620 tok/s (4B) and 2,749 tok/s (9B) at 64 concurrent; our clean results stop at 16 concurrent because local runs froze.</t>
        </is>
      </c>
    </row>
    <row r="102" ht="15" customHeight="1" s="8">
      <c r="A102" s="9" t="inlineStr">
        <is>
          <t>Faster responses at light load: at 1 request/s Together's median is faster for 4B (0.79 s vs 0.83 s H100 / 0.92 s A100), 9B (1.30 s vs 1.39 s) and especially 27B (2.1 s vs 4.4 s). Only gpt-oss is faster locally (0.54 s vs 0.69 s).</t>
        </is>
      </c>
    </row>
    <row r="103" ht="30" customHeight="1" s="8">
      <c r="A103" s="9" t="inlineStr">
        <is>
          <t>Cost comparisons for Together 9B, 27B, gpt-oss serving: those endpoint prices are not confirmed yet.</t>
        </is>
      </c>
    </row>
    <row r="104" ht="15" customHeight="1" s="8">
      <c r="A104" s="9" t="inlineStr">
        <is>
          <t>Anything about fine-tune quality: no quality evaluation was run.</t>
        </is>
      </c>
    </row>
    <row r="106" ht="15.75" customHeight="1" s="8">
      <c r="A106" s="2" t="inlineStr">
        <is>
          <t>Key caveats</t>
        </is>
      </c>
    </row>
    <row r="107" ht="15.75" customHeight="1" s="8">
      <c r="A107" s="9" t="inlineStr">
        <is>
          <t>Together does not disclose hardware. Report observed outcomes ("Together trained this in X min"), not GPU comparisons.</t>
        </is>
      </c>
    </row>
    <row r="108" ht="15.75" customHeight="1" s="8">
      <c r="A108" s="9" t="inlineStr">
        <is>
          <t>Local high-concurrency freezes follow tokens per second, not GPU or model size (27B never froze), pointing to client / API-server CPU limits. Fixing them may raise our throughput, but that is unproven.</t>
        </is>
      </c>
    </row>
    <row r="109" ht="15.75" customHeight="1" s="8">
      <c r="A109" s="9" t="inlineStr">
        <is>
          <t>Together's first-token times include the internet round trip (about 150 to 300 ms); our client ran on the same machine as the server.</t>
        </is>
      </c>
    </row>
    <row r="110" ht="15.75" customHeight="1" s="8">
      <c r="A110" s="9" t="inlineStr">
        <is>
          <t>Together had outages (HTTP 400 / 503) during runs and 5 to 8% errors at 64 concurrent on gpt-oss; affected cases were re-run or excluded.</t>
        </is>
      </c>
    </row>
    <row r="111" ht="15.75" customHeight="1" s="8">
      <c r="A111" s="9" t="inlineStr">
        <is>
          <t>Our H100 is the slower PCIe version; on gpt-oss the A100 was faster than the H100 under load.</t>
        </is>
      </c>
    </row>
    <row r="112" ht="15.75" customHeight="1" s="8">
      <c r="A112" s="9" t="inlineStr">
        <is>
          <t>GPU-hour rates are internal: A100 $10,000/month for 8 GPUs ($1.71/hr), H100 $1,400/month ($1.92/hr). Together 4B endpoint $5.49/hr is its listed price.</t>
        </is>
      </c>
    </row>
    <row r="113" ht="15.75" customHeight="1" s="8">
      <c r="A113" s="9" t="inlineStr">
        <is>
          <t>Together's 1k fine-tune jobs report slower training than its own 5k jobs (fixed per-job overhead); treat them as unreliable.</t>
        </is>
      </c>
    </row>
    <row r="114" ht="15.75" customHeight="1" s="8">
      <c r="A114" s="9" t="inlineStr">
        <is>
          <t>Results are from one deployment per platform on these datasets; Together can scale out to more GPUs, which was not tested.</t>
        </is>
      </c>
    </row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8">
    <mergeCell ref="A108:F108"/>
    <mergeCell ref="A12:F12"/>
    <mergeCell ref="A101:F101"/>
    <mergeCell ref="A104:F104"/>
    <mergeCell ref="A95:F95"/>
    <mergeCell ref="A113:F113"/>
    <mergeCell ref="A5:F5"/>
    <mergeCell ref="A8:F8"/>
    <mergeCell ref="A97:F97"/>
    <mergeCell ref="A4:F4"/>
    <mergeCell ref="A100:F100"/>
    <mergeCell ref="A96:F96"/>
    <mergeCell ref="A91:F91"/>
    <mergeCell ref="A109:F109"/>
    <mergeCell ref="A112:F112"/>
    <mergeCell ref="A93:F93"/>
    <mergeCell ref="A102:F102"/>
    <mergeCell ref="A9:F9"/>
    <mergeCell ref="A111:F111"/>
    <mergeCell ref="A58:F58"/>
    <mergeCell ref="A92:F92"/>
    <mergeCell ref="A114:F114"/>
    <mergeCell ref="A107:F107"/>
    <mergeCell ref="A103:F103"/>
    <mergeCell ref="A94:F94"/>
    <mergeCell ref="A110:F110"/>
    <mergeCell ref="A6:F6"/>
    <mergeCell ref="A7:F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ColWidth="14.453125" defaultRowHeight="15" customHeight="1"/>
  <cols>
    <col width="16" customWidth="1" style="8" min="1" max="6"/>
    <col width="8.7265625" customWidth="1" style="8" min="7" max="26"/>
  </cols>
  <sheetData>
    <row r="1" ht="14.5" customHeight="1" s="8">
      <c r="A1" s="5" t="inlineStr">
        <is>
          <t>Model</t>
        </is>
      </c>
      <c r="B1" s="5" t="inlineStr">
        <is>
          <t>Metric</t>
        </is>
      </c>
      <c r="C1" s="5" t="inlineStr">
        <is>
          <t>A100 SXM4</t>
        </is>
      </c>
      <c r="D1" s="5" t="inlineStr">
        <is>
          <t>H100 PCIe</t>
        </is>
      </c>
      <c r="E1" s="5" t="inlineStr">
        <is>
          <t>Together</t>
        </is>
      </c>
      <c r="F1" s="5" t="inlineStr">
        <is>
          <t>Valid runs (A100/H100/Together)</t>
        </is>
      </c>
    </row>
    <row r="2" ht="14.5" customHeight="1" s="8">
      <c r="A2" s="6" t="inlineStr">
        <is>
          <t>4B</t>
        </is>
      </c>
      <c r="B2" s="6" t="inlineStr">
        <is>
          <t>p50 latency @ 1 req/s (s)</t>
        </is>
      </c>
      <c r="C2" s="6" t="n">
        <v>0.916</v>
      </c>
      <c r="D2" s="6" t="n">
        <v>0.826</v>
      </c>
      <c r="E2" s="6" t="n">
        <v>0.788</v>
      </c>
      <c r="F2" s="6" t="inlineStr">
        <is>
          <t>3 / 3 / 2</t>
        </is>
      </c>
    </row>
    <row r="3" ht="14.5" customHeight="1" s="8">
      <c r="A3" s="6" t="inlineStr">
        <is>
          <t>4B</t>
        </is>
      </c>
      <c r="B3" s="6" t="inlineStr">
        <is>
          <t>p50 latency @ 6 req/s (s)</t>
        </is>
      </c>
      <c r="C3" s="6" t="n">
        <v>1.12</v>
      </c>
      <c r="D3" s="6" t="n">
        <v>1.003</v>
      </c>
      <c r="E3" s="6" t="n">
        <v>1.006</v>
      </c>
      <c r="F3" s="6" t="inlineStr">
        <is>
          <t>3 / 3 / 3</t>
        </is>
      </c>
    </row>
    <row r="4" ht="14.5" customHeight="1" s="8">
      <c r="A4" s="6" t="inlineStr">
        <is>
          <t>4B</t>
        </is>
      </c>
      <c r="B4" s="6" t="inlineStr">
        <is>
          <t>p99 latency @ 6 req/s (s)</t>
        </is>
      </c>
      <c r="C4" s="6" t="n">
        <v>1.142</v>
      </c>
      <c r="D4" s="6" t="n">
        <v>1.045</v>
      </c>
      <c r="E4" s="6" t="n">
        <v>1.163</v>
      </c>
      <c r="F4" s="6" t="inlineStr">
        <is>
          <t>3 / 3 / 3</t>
        </is>
      </c>
    </row>
    <row r="5" ht="14.5" customHeight="1" s="8">
      <c r="A5" s="6" t="inlineStr">
        <is>
          <t>4B</t>
        </is>
      </c>
      <c r="B5" s="6" t="inlineStr">
        <is>
          <t>TTFT p50 @ 1 req/s (ms)</t>
        </is>
      </c>
      <c r="C5" s="6" t="n">
        <v>29.329</v>
      </c>
      <c r="D5" s="6" t="n">
        <v>58.234</v>
      </c>
      <c r="E5" s="6" t="n">
        <v>156.614</v>
      </c>
      <c r="F5" s="6" t="inlineStr">
        <is>
          <t>3 / 3 / 2</t>
        </is>
      </c>
    </row>
    <row r="6" ht="14.5" customHeight="1" s="8">
      <c r="A6" s="6" t="inlineStr">
        <is>
          <t>4B</t>
        </is>
      </c>
      <c r="B6" s="6" t="inlineStr">
        <is>
          <t>Time per token @ 1 req/s (ms)</t>
        </is>
      </c>
      <c r="C6" s="6" t="n">
        <v>6.982</v>
      </c>
      <c r="D6" s="6" t="n">
        <v>6.041</v>
      </c>
      <c r="E6" s="6" t="n">
        <v>5.039</v>
      </c>
      <c r="F6" s="6" t="inlineStr">
        <is>
          <t>3 / 3 / 2</t>
        </is>
      </c>
    </row>
    <row r="7" ht="14.5" customHeight="1" s="8">
      <c r="A7" s="6" t="inlineStr">
        <is>
          <t>4B</t>
        </is>
      </c>
      <c r="B7" s="6" t="inlineStr">
        <is>
          <t>Time per token @ 6 req/s (ms)</t>
        </is>
      </c>
      <c r="C7" s="6" t="n">
        <v>8.492000000000001</v>
      </c>
      <c r="D7" s="6" t="n">
        <v>7.525</v>
      </c>
      <c r="E7" s="6" t="n">
        <v>6.611</v>
      </c>
      <c r="F7" s="6" t="inlineStr">
        <is>
          <t>3 / 3 / 3</t>
        </is>
      </c>
    </row>
    <row r="8" ht="14.5" customHeight="1" s="8">
      <c r="A8" s="6" t="inlineStr">
        <is>
          <t>4B</t>
        </is>
      </c>
      <c r="B8" s="6" t="inlineStr">
        <is>
          <t>Throughput @ 16 concurrent (tok/s)</t>
        </is>
      </c>
      <c r="C8" s="6" t="n">
        <v>1506.809</v>
      </c>
      <c r="D8" s="6" t="n">
        <v>1702.394</v>
      </c>
      <c r="E8" s="6" t="n">
        <v>1533.4</v>
      </c>
      <c r="F8" s="6" t="inlineStr">
        <is>
          <t>2 / 1 / 3</t>
        </is>
      </c>
    </row>
    <row r="9" ht="14.5" customHeight="1" s="8">
      <c r="A9" s="6" t="inlineStr">
        <is>
          <t>4B</t>
        </is>
      </c>
      <c r="B9" s="6" t="inlineStr">
        <is>
          <t>Throughput @ 32 concurrent (tok/s)</t>
        </is>
      </c>
      <c r="E9" s="6" t="n">
        <v>2400.759</v>
      </c>
      <c r="F9" s="6" t="inlineStr">
        <is>
          <t>0 / 0 / 3</t>
        </is>
      </c>
    </row>
    <row r="10" ht="14.5" customHeight="1" s="8">
      <c r="A10" s="6" t="inlineStr">
        <is>
          <t>4B</t>
        </is>
      </c>
      <c r="B10" s="6" t="inlineStr">
        <is>
          <t>Throughput @ 64 concurrent (tok/s)</t>
        </is>
      </c>
      <c r="E10" s="6" t="n">
        <v>3620.166</v>
      </c>
      <c r="F10" s="6" t="inlineStr">
        <is>
          <t>0 / 0 / 3</t>
        </is>
      </c>
    </row>
    <row r="11" ht="14.5" customHeight="1" s="8">
      <c r="A11" s="6" t="inlineStr">
        <is>
          <t>9B</t>
        </is>
      </c>
      <c r="B11" s="6" t="inlineStr">
        <is>
          <t>p50 latency @ 1 req/s (s)</t>
        </is>
      </c>
      <c r="C11" s="6" t="n">
        <v>1.48</v>
      </c>
      <c r="D11" s="6" t="n">
        <v>1.39</v>
      </c>
      <c r="E11" s="6" t="n">
        <v>1.296</v>
      </c>
      <c r="F11" s="6" t="inlineStr">
        <is>
          <t>3 / 3 / 3</t>
        </is>
      </c>
    </row>
    <row r="12" ht="14.5" customHeight="1" s="8">
      <c r="A12" s="6" t="inlineStr">
        <is>
          <t>9B</t>
        </is>
      </c>
      <c r="B12" s="6" t="inlineStr">
        <is>
          <t>p50 latency @ 6 req/s (s)</t>
        </is>
      </c>
      <c r="C12" s="6" t="n">
        <v>1.652</v>
      </c>
      <c r="D12" s="6" t="n">
        <v>1.722</v>
      </c>
      <c r="E12" s="6" t="n">
        <v>1.643</v>
      </c>
      <c r="F12" s="6" t="inlineStr">
        <is>
          <t>3 / 3 / 3</t>
        </is>
      </c>
    </row>
    <row r="13" ht="14.5" customHeight="1" s="8">
      <c r="A13" s="6" t="inlineStr">
        <is>
          <t>9B</t>
        </is>
      </c>
      <c r="B13" s="6" t="inlineStr">
        <is>
          <t>p99 latency @ 6 req/s (s)</t>
        </is>
      </c>
      <c r="C13" s="6" t="n">
        <v>1.742</v>
      </c>
      <c r="D13" s="6" t="n">
        <v>1.735</v>
      </c>
      <c r="E13" s="6" t="n">
        <v>6.854</v>
      </c>
      <c r="F13" s="6" t="inlineStr">
        <is>
          <t>3 / 3 / 3</t>
        </is>
      </c>
    </row>
    <row r="14" ht="14.5" customHeight="1" s="8">
      <c r="A14" s="6" t="inlineStr">
        <is>
          <t>9B</t>
        </is>
      </c>
      <c r="B14" s="6" t="inlineStr">
        <is>
          <t>TTFT p50 @ 1 req/s (ms)</t>
        </is>
      </c>
      <c r="C14" s="6" t="n">
        <v>40.594</v>
      </c>
      <c r="D14" s="6" t="n">
        <v>59.839</v>
      </c>
      <c r="E14" s="6" t="n">
        <v>252.897</v>
      </c>
      <c r="F14" s="6" t="inlineStr">
        <is>
          <t>3 / 3 / 3</t>
        </is>
      </c>
    </row>
    <row r="15" ht="14.5" customHeight="1" s="8">
      <c r="A15" s="6" t="inlineStr">
        <is>
          <t>9B</t>
        </is>
      </c>
      <c r="B15" s="6" t="inlineStr">
        <is>
          <t>Time per token @ 1 req/s (ms)</t>
        </is>
      </c>
      <c r="C15" s="6" t="n">
        <v>11.346</v>
      </c>
      <c r="D15" s="6" t="n">
        <v>10.438</v>
      </c>
      <c r="E15" s="6" t="n">
        <v>8.439</v>
      </c>
      <c r="F15" s="6" t="inlineStr">
        <is>
          <t>3 / 3 / 3</t>
        </is>
      </c>
    </row>
    <row r="16" ht="14.5" customHeight="1" s="8">
      <c r="A16" s="6" t="inlineStr">
        <is>
          <t>9B</t>
        </is>
      </c>
      <c r="B16" s="6" t="inlineStr">
        <is>
          <t>Time per token @ 6 req/s (ms)</t>
        </is>
      </c>
      <c r="C16" s="6" t="n">
        <v>12.714</v>
      </c>
      <c r="D16" s="6" t="n">
        <v>12.914</v>
      </c>
      <c r="E16" s="6" t="n">
        <v>10.79</v>
      </c>
      <c r="F16" s="6" t="inlineStr">
        <is>
          <t>3 / 3 / 3</t>
        </is>
      </c>
    </row>
    <row r="17" ht="14.5" customHeight="1" s="8">
      <c r="A17" s="6" t="inlineStr">
        <is>
          <t>9B</t>
        </is>
      </c>
      <c r="B17" s="6" t="inlineStr">
        <is>
          <t>Throughput @ 16 concurrent (tok/s)</t>
        </is>
      </c>
      <c r="C17" s="6" t="n">
        <v>1137.232</v>
      </c>
      <c r="D17" s="6" t="n">
        <v>1170.604</v>
      </c>
      <c r="E17" s="6" t="n">
        <v>1104.579</v>
      </c>
      <c r="F17" s="6" t="inlineStr">
        <is>
          <t>3 / 3 / 3</t>
        </is>
      </c>
    </row>
    <row r="18" ht="14.5" customHeight="1" s="8">
      <c r="A18" s="6" t="inlineStr">
        <is>
          <t>9B</t>
        </is>
      </c>
      <c r="B18" s="6" t="inlineStr">
        <is>
          <t>Throughput @ 32 concurrent (tok/s)</t>
        </is>
      </c>
      <c r="E18" s="6" t="n">
        <v>1752.317</v>
      </c>
      <c r="F18" s="6" t="inlineStr">
        <is>
          <t>0 / 0 / 3</t>
        </is>
      </c>
    </row>
    <row r="19" ht="14.5" customHeight="1" s="8">
      <c r="A19" s="6" t="inlineStr">
        <is>
          <t>9B</t>
        </is>
      </c>
      <c r="B19" s="6" t="inlineStr">
        <is>
          <t>Throughput @ 64 concurrent (tok/s)</t>
        </is>
      </c>
      <c r="E19" s="6" t="n">
        <v>2749.479</v>
      </c>
      <c r="F19" s="6" t="inlineStr">
        <is>
          <t>0 / 0 / 3</t>
        </is>
      </c>
    </row>
    <row r="20" ht="14.5" customHeight="1" s="8">
      <c r="A20" s="6" t="inlineStr">
        <is>
          <t>27B</t>
        </is>
      </c>
      <c r="B20" s="6" t="inlineStr">
        <is>
          <t>p50 latency @ 1 req/s (s)</t>
        </is>
      </c>
      <c r="C20" s="6" t="n">
        <v>4.702</v>
      </c>
      <c r="D20" s="6" t="n">
        <v>4.354</v>
      </c>
      <c r="E20" s="6" t="n">
        <v>2.084</v>
      </c>
      <c r="F20" s="6" t="inlineStr">
        <is>
          <t>3 / 1 / 1</t>
        </is>
      </c>
    </row>
    <row r="21" ht="15.75" customHeight="1" s="8">
      <c r="A21" s="6" t="inlineStr">
        <is>
          <t>27B</t>
        </is>
      </c>
      <c r="B21" s="6" t="inlineStr">
        <is>
          <t>p50 latency @ 6 req/s (s)</t>
        </is>
      </c>
      <c r="C21" s="6" t="n">
        <v>7.119</v>
      </c>
      <c r="D21" s="6" t="n">
        <v>5.517</v>
      </c>
      <c r="E21" s="6" t="n">
        <v>8.175000000000001</v>
      </c>
      <c r="F21" s="6" t="inlineStr">
        <is>
          <t>3 / 1 / 1</t>
        </is>
      </c>
    </row>
    <row r="22" ht="15.75" customHeight="1" s="8">
      <c r="A22" s="6" t="inlineStr">
        <is>
          <t>27B</t>
        </is>
      </c>
      <c r="B22" s="6" t="inlineStr">
        <is>
          <t>p99 latency @ 6 req/s (s)</t>
        </is>
      </c>
      <c r="C22" s="6" t="n">
        <v>7.58</v>
      </c>
      <c r="D22" s="6" t="n">
        <v>5.826</v>
      </c>
      <c r="E22" s="6" t="n">
        <v>11.31</v>
      </c>
      <c r="F22" s="6" t="inlineStr">
        <is>
          <t>3 / 1 / 1</t>
        </is>
      </c>
    </row>
    <row r="23" ht="15.75" customHeight="1" s="8">
      <c r="A23" s="6" t="inlineStr">
        <is>
          <t>27B</t>
        </is>
      </c>
      <c r="B23" s="6" t="inlineStr">
        <is>
          <t>TTFT p50 @ 1 req/s (ms)</t>
        </is>
      </c>
      <c r="C23" s="6" t="n">
        <v>109.367</v>
      </c>
      <c r="D23" s="6" t="n">
        <v>101.65</v>
      </c>
      <c r="E23" s="6" t="n">
        <v>277.488</v>
      </c>
      <c r="F23" s="6" t="inlineStr">
        <is>
          <t>3 / 1 / 1</t>
        </is>
      </c>
    </row>
    <row r="24" ht="15.75" customHeight="1" s="8">
      <c r="A24" s="6" t="inlineStr">
        <is>
          <t>27B</t>
        </is>
      </c>
      <c r="B24" s="6" t="inlineStr">
        <is>
          <t>Time per token @ 1 req/s (ms)</t>
        </is>
      </c>
      <c r="C24" s="6" t="n">
        <v>36.233</v>
      </c>
      <c r="D24" s="6" t="n">
        <v>33.58</v>
      </c>
      <c r="E24" s="6" t="n">
        <v>14.785</v>
      </c>
      <c r="F24" s="6" t="inlineStr">
        <is>
          <t>3 / 1 / 1</t>
        </is>
      </c>
    </row>
    <row r="25" ht="15.75" customHeight="1" s="8">
      <c r="A25" s="6" t="inlineStr">
        <is>
          <t>27B</t>
        </is>
      </c>
      <c r="B25" s="6" t="inlineStr">
        <is>
          <t>Time per token @ 6 req/s (ms)</t>
        </is>
      </c>
      <c r="C25" s="6" t="n">
        <v>54.986</v>
      </c>
      <c r="D25" s="6" t="n">
        <v>42.762</v>
      </c>
      <c r="E25" s="6" t="n">
        <v>62.817</v>
      </c>
      <c r="F25" s="6" t="inlineStr">
        <is>
          <t>3 / 1 / 1</t>
        </is>
      </c>
    </row>
    <row r="26" ht="15.75" customHeight="1" s="8">
      <c r="A26" s="6" t="inlineStr">
        <is>
          <t>27B</t>
        </is>
      </c>
      <c r="B26" s="6" t="inlineStr">
        <is>
          <t>Throughput @ 16 concurrent (tok/s)</t>
        </is>
      </c>
      <c r="C26" s="6" t="n">
        <v>378.058</v>
      </c>
      <c r="D26" s="6" t="n">
        <v>416.549</v>
      </c>
      <c r="E26" s="6" t="n">
        <v>596.4</v>
      </c>
      <c r="F26" s="6" t="inlineStr">
        <is>
          <t>3 / 1 / 1</t>
        </is>
      </c>
    </row>
    <row r="27" ht="15.75" customHeight="1" s="8">
      <c r="A27" s="6" t="inlineStr">
        <is>
          <t>27B</t>
        </is>
      </c>
      <c r="B27" s="6" t="inlineStr">
        <is>
          <t>Throughput @ 32 concurrent (tok/s)</t>
        </is>
      </c>
      <c r="C27" s="6" t="n">
        <v>628.29</v>
      </c>
      <c r="D27" s="6" t="n">
        <v>725.432</v>
      </c>
      <c r="E27" s="6" t="n">
        <v>920.806</v>
      </c>
      <c r="F27" s="6" t="inlineStr">
        <is>
          <t>3 / 1 / 1</t>
        </is>
      </c>
    </row>
    <row r="28" ht="15.75" customHeight="1" s="8">
      <c r="A28" s="6" t="inlineStr">
        <is>
          <t>27B</t>
        </is>
      </c>
      <c r="B28" s="6" t="inlineStr">
        <is>
          <t>Throughput @ 64 concurrent (tok/s)</t>
        </is>
      </c>
      <c r="C28" s="6" t="n">
        <v>955.492</v>
      </c>
      <c r="D28" s="6" t="n">
        <v>1131.698</v>
      </c>
      <c r="E28" s="6" t="n">
        <v>1369.677</v>
      </c>
      <c r="F28" s="6" t="inlineStr">
        <is>
          <t>3 / 1 / 1</t>
        </is>
      </c>
    </row>
    <row r="29" ht="15.75" customHeight="1" s="8">
      <c r="A29" s="6" t="inlineStr">
        <is>
          <t>gpt-oss-20B</t>
        </is>
      </c>
      <c r="B29" s="6" t="inlineStr">
        <is>
          <t>p50 latency @ 1 req/s (s)</t>
        </is>
      </c>
      <c r="C29" s="6" t="n">
        <v>0.55</v>
      </c>
      <c r="D29" s="6" t="n">
        <v>0.544</v>
      </c>
      <c r="E29" s="6" t="n">
        <v>0.6909999999999999</v>
      </c>
      <c r="F29" s="6" t="inlineStr">
        <is>
          <t>3 / 3 / 3</t>
        </is>
      </c>
    </row>
    <row r="30" ht="15.75" customHeight="1" s="8">
      <c r="A30" s="6" t="inlineStr">
        <is>
          <t>gpt-oss-20B</t>
        </is>
      </c>
      <c r="B30" s="6" t="inlineStr">
        <is>
          <t>p50 latency @ 6 req/s (s)</t>
        </is>
      </c>
      <c r="C30" s="6" t="n">
        <v>0.8100000000000001</v>
      </c>
      <c r="D30" s="6" t="n">
        <v>1.011</v>
      </c>
      <c r="E30" s="6" t="n">
        <v>0.868</v>
      </c>
      <c r="F30" s="6" t="inlineStr">
        <is>
          <t>3 / 3 / 3</t>
        </is>
      </c>
    </row>
    <row r="31" ht="15.75" customHeight="1" s="8">
      <c r="A31" s="6" t="inlineStr">
        <is>
          <t>gpt-oss-20B</t>
        </is>
      </c>
      <c r="B31" s="6" t="inlineStr">
        <is>
          <t>p99 latency @ 6 req/s (s)</t>
        </is>
      </c>
      <c r="C31" s="6" t="n">
        <v>0.989</v>
      </c>
      <c r="D31" s="6" t="n">
        <v>1.062</v>
      </c>
      <c r="E31" s="6" t="n">
        <v>1.151</v>
      </c>
      <c r="F31" s="6" t="inlineStr">
        <is>
          <t>3 / 3 / 3</t>
        </is>
      </c>
    </row>
    <row r="32" ht="15.75" customHeight="1" s="8">
      <c r="A32" s="6" t="inlineStr">
        <is>
          <t>gpt-oss-20B</t>
        </is>
      </c>
      <c r="B32" s="6" t="inlineStr">
        <is>
          <t>TTFT p50 @ 1 req/s (ms)</t>
        </is>
      </c>
      <c r="C32" s="6" t="n">
        <v>108.995</v>
      </c>
      <c r="D32" s="6" t="n">
        <v>109.22</v>
      </c>
      <c r="E32" s="6" t="n">
        <v>234.92</v>
      </c>
      <c r="F32" s="6" t="inlineStr">
        <is>
          <t>3 / 3 / 3</t>
        </is>
      </c>
    </row>
    <row r="33" ht="15.75" customHeight="1" s="8">
      <c r="A33" s="6" t="inlineStr">
        <is>
          <t>gpt-oss-20B</t>
        </is>
      </c>
      <c r="B33" s="6" t="inlineStr">
        <is>
          <t>Time per token @ 1 req/s (ms)</t>
        </is>
      </c>
      <c r="C33" s="6" t="n">
        <v>3.132</v>
      </c>
      <c r="D33" s="6" t="n">
        <v>3.06</v>
      </c>
      <c r="E33" s="6" t="n">
        <v>3.682</v>
      </c>
      <c r="F33" s="6" t="inlineStr">
        <is>
          <t>3 / 3 / 3</t>
        </is>
      </c>
    </row>
    <row r="34" ht="15.75" customHeight="1" s="8">
      <c r="A34" s="6" t="inlineStr">
        <is>
          <t>gpt-oss-20B</t>
        </is>
      </c>
      <c r="B34" s="6" t="inlineStr">
        <is>
          <t>Time per token @ 6 req/s (ms)</t>
        </is>
      </c>
      <c r="C34" s="6" t="n">
        <v>4.683</v>
      </c>
      <c r="D34" s="6" t="n">
        <v>5.694</v>
      </c>
      <c r="E34" s="6" t="n">
        <v>5.034</v>
      </c>
      <c r="F34" s="6" t="inlineStr">
        <is>
          <t>3 / 3 / 3</t>
        </is>
      </c>
    </row>
    <row r="35" ht="15.75" customHeight="1" s="8">
      <c r="A35" s="6" t="inlineStr">
        <is>
          <t>gpt-oss-20B</t>
        </is>
      </c>
      <c r="B35" s="6" t="inlineStr">
        <is>
          <t>Throughput @ 16 concurrent (tok/s)</t>
        </is>
      </c>
      <c r="C35" s="6" t="n">
        <v>1747.186</v>
      </c>
      <c r="D35" s="6" t="n">
        <v>1716.174</v>
      </c>
      <c r="E35" s="6" t="n">
        <v>1492.888</v>
      </c>
      <c r="F35" s="6" t="inlineStr">
        <is>
          <t>1 / 1 / 3</t>
        </is>
      </c>
    </row>
    <row r="36" ht="15.75" customHeight="1" s="8">
      <c r="A36" s="6" t="inlineStr">
        <is>
          <t>gpt-oss-20B</t>
        </is>
      </c>
      <c r="B36" s="6" t="inlineStr">
        <is>
          <t>Throughput @ 32 concurrent (tok/s)</t>
        </is>
      </c>
      <c r="E36" s="6" t="n">
        <v>2019.33</v>
      </c>
      <c r="F36" s="6" t="inlineStr">
        <is>
          <t>0 / 0 / 3</t>
        </is>
      </c>
    </row>
    <row r="37" ht="15.75" customHeight="1" s="8">
      <c r="A37" s="6" t="inlineStr">
        <is>
          <t>gpt-oss-20B</t>
        </is>
      </c>
      <c r="B37" s="6" t="inlineStr">
        <is>
          <t>Throughput @ 64 concurrent (tok/s)</t>
        </is>
      </c>
      <c r="F37" s="6" t="inlineStr">
        <is>
          <t>0 / 0 / 0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tabSelected="1" topLeftCell="N26" workbookViewId="0">
      <selection activeCell="S42" sqref="S42"/>
    </sheetView>
  </sheetViews>
  <sheetFormatPr baseColWidth="8" defaultColWidth="14.453125" defaultRowHeight="15" customHeight="1"/>
  <cols>
    <col width="16" customWidth="1" style="8" min="1" max="22"/>
    <col width="8.7265625" customWidth="1" style="8" min="23" max="26"/>
  </cols>
  <sheetData>
    <row r="1" ht="14.5" customHeight="1" s="8">
      <c r="A1" s="5" t="inlineStr">
        <is>
          <t>platform</t>
        </is>
      </c>
      <c r="B1" s="5" t="inlineStr">
        <is>
          <t>gpu</t>
        </is>
      </c>
      <c r="C1" s="5" t="inlineStr">
        <is>
          <t>model</t>
        </is>
      </c>
      <c r="D1" s="5" t="inlineStr">
        <is>
          <t>dataset_size</t>
        </is>
      </c>
      <c r="E1" s="5" t="inlineStr">
        <is>
          <t>lora</t>
        </is>
      </c>
      <c r="F1" s="5" t="inlineStr">
        <is>
          <t>effective_batch</t>
        </is>
      </c>
      <c r="G1" s="5" t="inlineStr">
        <is>
          <t>micro_batch</t>
        </is>
      </c>
      <c r="H1" s="5" t="inlineStr">
        <is>
          <t>grad_checkpointing</t>
        </is>
      </c>
      <c r="I1" s="5" t="inlineStr">
        <is>
          <t>trainable_params</t>
        </is>
      </c>
      <c r="J1" s="5" t="inlineStr">
        <is>
          <t>steps</t>
        </is>
      </c>
      <c r="K1" s="5" t="inlineStr">
        <is>
          <t>trained_tokens</t>
        </is>
      </c>
      <c r="L1" s="5" t="inlineStr">
        <is>
          <t>train_time_min</t>
        </is>
      </c>
      <c r="M1" s="5" t="inlineStr">
        <is>
          <t>queue_time_min</t>
        </is>
      </c>
      <c r="N1" s="5" t="inlineStr">
        <is>
          <t>total_time_min</t>
        </is>
      </c>
      <c r="O1" s="5" t="inlineStr">
        <is>
          <t>tokens_per_s</t>
        </is>
      </c>
      <c r="P1" s="5" t="inlineStr">
        <is>
          <t>steady_tokens_per_s</t>
        </is>
      </c>
      <c r="Q1" s="5" t="inlineStr">
        <is>
          <t>peak_memory_gb</t>
        </is>
      </c>
      <c r="R1" s="5" t="inlineStr">
        <is>
          <t>first_loss</t>
        </is>
      </c>
      <c r="S1" s="5" t="inlineStr">
        <is>
          <t>last_loss</t>
        </is>
      </c>
      <c r="T1" s="5" t="inlineStr">
        <is>
          <t>flash_linear_attention</t>
        </is>
      </c>
      <c r="U1" s="5" t="inlineStr">
        <is>
          <t>status</t>
        </is>
      </c>
      <c r="V1" s="5" t="inlineStr">
        <is>
          <t>notes</t>
        </is>
      </c>
    </row>
    <row r="2" ht="14.5" customHeight="1" s="8">
      <c r="A2" s="6" t="inlineStr">
        <is>
          <t>A100</t>
        </is>
      </c>
      <c r="B2" s="6" t="inlineStr">
        <is>
          <t>NVIDIA A100-SXM4-80GB</t>
        </is>
      </c>
      <c r="C2" s="6" t="inlineStr">
        <is>
          <t>Qwen3.5-4B</t>
        </is>
      </c>
      <c r="D2" s="6" t="inlineStr">
        <is>
          <t>1k</t>
        </is>
      </c>
      <c r="E2" s="6" t="inlineStr">
        <is>
          <t>r16/a32/all-linear</t>
        </is>
      </c>
      <c r="F2" s="6" t="n">
        <v>8</v>
      </c>
      <c r="G2" s="6" t="n">
        <v>1</v>
      </c>
      <c r="H2" s="6" t="b">
        <v>0</v>
      </c>
      <c r="I2" s="6" t="n">
        <v>32464896</v>
      </c>
      <c r="J2" s="6" t="n">
        <v>8</v>
      </c>
      <c r="K2" s="6" t="n">
        <v>262144</v>
      </c>
      <c r="L2" s="6" t="n">
        <v>0.996</v>
      </c>
      <c r="N2" s="6" t="n">
        <v>1.189</v>
      </c>
      <c r="O2" s="6" t="n">
        <v>4386.98</v>
      </c>
      <c r="P2" s="6" t="n">
        <v>4458.27</v>
      </c>
      <c r="Q2" s="6" t="n">
        <v>59.481</v>
      </c>
      <c r="R2" s="6" t="n">
        <v>1.224</v>
      </c>
      <c r="S2" s="6" t="n">
        <v>1.125</v>
      </c>
      <c r="T2" s="6" t="b">
        <v>1</v>
      </c>
      <c r="U2" s="6" t="inlineStr">
        <is>
          <t>Valid</t>
        </is>
      </c>
    </row>
    <row r="3" ht="14.5" customHeight="1" s="8">
      <c r="A3" s="6" t="inlineStr">
        <is>
          <t>A100</t>
        </is>
      </c>
      <c r="B3" s="6" t="inlineStr">
        <is>
          <t>NVIDIA A100-SXM4-80GB</t>
        </is>
      </c>
      <c r="C3" s="6" t="inlineStr">
        <is>
          <t>Qwen3.5-4B</t>
        </is>
      </c>
      <c r="D3" s="6" t="inlineStr">
        <is>
          <t>5k</t>
        </is>
      </c>
      <c r="E3" s="6" t="inlineStr">
        <is>
          <t>r16/a32/all-linear</t>
        </is>
      </c>
      <c r="F3" s="6" t="n">
        <v>8</v>
      </c>
      <c r="G3" s="6" t="n">
        <v>1</v>
      </c>
      <c r="H3" s="6" t="b">
        <v>0</v>
      </c>
      <c r="I3" s="6" t="n">
        <v>32464896</v>
      </c>
      <c r="J3" s="6" t="n">
        <v>43</v>
      </c>
      <c r="K3" s="6" t="n">
        <v>1409024</v>
      </c>
      <c r="L3" s="6" t="n">
        <v>5.284</v>
      </c>
      <c r="N3" s="6" t="n">
        <v>7.101</v>
      </c>
      <c r="O3" s="6" t="n">
        <v>4444.11</v>
      </c>
      <c r="P3" s="6" t="n">
        <v>4456.26</v>
      </c>
      <c r="Q3" s="6" t="n">
        <v>59.582</v>
      </c>
      <c r="R3" s="6" t="n">
        <v>1.224</v>
      </c>
      <c r="S3" s="6" t="n">
        <v>1.101</v>
      </c>
      <c r="T3" s="6" t="b">
        <v>1</v>
      </c>
      <c r="U3" s="6" t="inlineStr">
        <is>
          <t>Valid</t>
        </is>
      </c>
    </row>
    <row r="4" ht="14.5" customHeight="1" s="8">
      <c r="A4" s="6" t="inlineStr">
        <is>
          <t>A100</t>
        </is>
      </c>
      <c r="B4" s="6" t="inlineStr">
        <is>
          <t>NVIDIA A100-SXM4-80GB</t>
        </is>
      </c>
      <c r="C4" s="6" t="inlineStr">
        <is>
          <t>Qwen3.5-4B</t>
        </is>
      </c>
      <c r="D4" s="6" t="inlineStr">
        <is>
          <t>10k</t>
        </is>
      </c>
      <c r="E4" s="6" t="inlineStr">
        <is>
          <t>r16/a32/all-linear</t>
        </is>
      </c>
      <c r="F4" s="6" t="n">
        <v>8</v>
      </c>
      <c r="G4" s="6" t="n">
        <v>1</v>
      </c>
      <c r="H4" s="6" t="b">
        <v>0</v>
      </c>
      <c r="I4" s="6" t="n">
        <v>32464896</v>
      </c>
      <c r="J4" s="6" t="n">
        <v>87</v>
      </c>
      <c r="K4" s="6" t="n">
        <v>2850816</v>
      </c>
      <c r="L4" s="6" t="n">
        <v>10.68</v>
      </c>
      <c r="N4" s="6" t="n">
        <v>10.885</v>
      </c>
      <c r="O4" s="6" t="n">
        <v>4448.72</v>
      </c>
      <c r="P4" s="6" t="n">
        <v>4455.63</v>
      </c>
      <c r="Q4" s="6" t="n">
        <v>59.481</v>
      </c>
      <c r="R4" s="6" t="n">
        <v>1.224</v>
      </c>
      <c r="S4" s="6" t="n">
        <v>1.057</v>
      </c>
      <c r="T4" s="6" t="b">
        <v>1</v>
      </c>
      <c r="U4" s="6" t="inlineStr">
        <is>
          <t>Valid</t>
        </is>
      </c>
    </row>
    <row r="5" ht="14.5" customHeight="1" s="8">
      <c r="A5" s="6" t="inlineStr">
        <is>
          <t>A100</t>
        </is>
      </c>
      <c r="B5" s="6" t="inlineStr">
        <is>
          <t>NVIDIA A100-SXM4-80GB</t>
        </is>
      </c>
      <c r="C5" s="6" t="inlineStr">
        <is>
          <t>Qwen3.5-9B</t>
        </is>
      </c>
      <c r="D5" s="6" t="inlineStr">
        <is>
          <t>1k</t>
        </is>
      </c>
      <c r="E5" s="6" t="inlineStr">
        <is>
          <t>r16/a32/all-linear</t>
        </is>
      </c>
      <c r="F5" s="6" t="n">
        <v>8</v>
      </c>
      <c r="G5" s="6" t="n">
        <v>1</v>
      </c>
      <c r="H5" s="6" t="b">
        <v>0</v>
      </c>
      <c r="I5" s="6" t="n">
        <v>43278336</v>
      </c>
      <c r="J5" s="6" t="n">
        <v>8</v>
      </c>
      <c r="K5" s="6" t="n">
        <v>262144</v>
      </c>
      <c r="L5" s="6" t="n">
        <v>1.377</v>
      </c>
      <c r="N5" s="6" t="n">
        <v>1.592</v>
      </c>
      <c r="O5" s="6" t="n">
        <v>3172.03</v>
      </c>
      <c r="P5" s="6" t="n">
        <v>3214.78</v>
      </c>
      <c r="Q5" s="6" t="n">
        <v>79.41800000000001</v>
      </c>
      <c r="R5" s="6" t="n">
        <v>1.181</v>
      </c>
      <c r="S5" s="6" t="n">
        <v>1.054</v>
      </c>
      <c r="T5" s="6" t="b">
        <v>1</v>
      </c>
      <c r="U5" s="6" t="inlineStr">
        <is>
          <t>Valid</t>
        </is>
      </c>
      <c r="V5" s="6" t="inlineStr">
        <is>
          <t>Peak memory very close to the 80GB limit without checkpointing</t>
        </is>
      </c>
    </row>
    <row r="6" ht="14.5" customHeight="1" s="8">
      <c r="A6" s="6" t="inlineStr">
        <is>
          <t>A100</t>
        </is>
      </c>
      <c r="B6" s="6" t="inlineStr">
        <is>
          <t>NVIDIA A100-SXM4-80GB</t>
        </is>
      </c>
      <c r="C6" s="6" t="inlineStr">
        <is>
          <t>Qwen3.5-9B</t>
        </is>
      </c>
      <c r="D6" s="6" t="inlineStr">
        <is>
          <t>5k</t>
        </is>
      </c>
      <c r="E6" s="6" t="inlineStr">
        <is>
          <t>r16/a32/all-linear</t>
        </is>
      </c>
      <c r="F6" s="6" t="n">
        <v>8</v>
      </c>
      <c r="G6" s="6" t="n">
        <v>1</v>
      </c>
      <c r="H6" s="6" t="b">
        <v>0</v>
      </c>
      <c r="I6" s="6" t="n">
        <v>43278336</v>
      </c>
      <c r="J6" s="6" t="n">
        <v>43</v>
      </c>
      <c r="K6" s="6" t="n">
        <v>1409024</v>
      </c>
      <c r="L6" s="6" t="n">
        <v>7.331</v>
      </c>
      <c r="N6" s="6" t="n">
        <v>7.513</v>
      </c>
      <c r="O6" s="6" t="n">
        <v>3203.29</v>
      </c>
      <c r="P6" s="6" t="n">
        <v>3210.72</v>
      </c>
      <c r="Q6" s="6" t="n">
        <v>79.41800000000001</v>
      </c>
      <c r="R6" s="6" t="n">
        <v>1.181</v>
      </c>
      <c r="S6" s="6" t="n">
        <v>1.029</v>
      </c>
      <c r="T6" s="6" t="b">
        <v>1</v>
      </c>
      <c r="U6" s="6" t="inlineStr">
        <is>
          <t>Valid</t>
        </is>
      </c>
      <c r="V6" s="6" t="inlineStr">
        <is>
          <t>Peak memory very close to the 80GB limit without checkpointing</t>
        </is>
      </c>
    </row>
    <row r="7" ht="14.5" customHeight="1" s="8">
      <c r="A7" s="6" t="inlineStr">
        <is>
          <t>A100</t>
        </is>
      </c>
      <c r="B7" s="6" t="inlineStr">
        <is>
          <t>NVIDIA A100-SXM4-80GB</t>
        </is>
      </c>
      <c r="C7" s="6" t="inlineStr">
        <is>
          <t>Qwen3.5-9B</t>
        </is>
      </c>
      <c r="D7" s="6" t="inlineStr">
        <is>
          <t>10k</t>
        </is>
      </c>
      <c r="E7" s="6" t="inlineStr">
        <is>
          <t>r16/a32/all-linear</t>
        </is>
      </c>
      <c r="F7" s="6" t="n">
        <v>8</v>
      </c>
      <c r="G7" s="6" t="n">
        <v>1</v>
      </c>
      <c r="H7" s="6" t="b">
        <v>0</v>
      </c>
      <c r="I7" s="6" t="n">
        <v>43278336</v>
      </c>
      <c r="J7" s="6" t="n">
        <v>87</v>
      </c>
      <c r="K7" s="6" t="n">
        <v>2850816</v>
      </c>
      <c r="L7" s="6" t="n">
        <v>14.805</v>
      </c>
      <c r="N7" s="6" t="n">
        <v>15.028</v>
      </c>
      <c r="O7" s="6" t="n">
        <v>3209.35</v>
      </c>
      <c r="P7" s="6" t="n">
        <v>3213.38</v>
      </c>
      <c r="Q7" s="6" t="n">
        <v>79.41800000000001</v>
      </c>
      <c r="R7" s="6" t="n">
        <v>1.181</v>
      </c>
      <c r="S7" s="6" t="n">
        <v>0.985</v>
      </c>
      <c r="T7" s="6" t="b">
        <v>1</v>
      </c>
      <c r="U7" s="6" t="inlineStr">
        <is>
          <t>Valid</t>
        </is>
      </c>
      <c r="V7" s="6" t="inlineStr">
        <is>
          <t>Peak memory very close to the 80GB limit without checkpointing</t>
        </is>
      </c>
    </row>
    <row r="8" ht="14.5" customHeight="1" s="8">
      <c r="A8" s="6" t="inlineStr">
        <is>
          <t>A100</t>
        </is>
      </c>
      <c r="B8" s="6" t="inlineStr">
        <is>
          <t>NVIDIA A100-SXM4-80GB</t>
        </is>
      </c>
      <c r="C8" s="6" t="inlineStr">
        <is>
          <t>Qwen3.5-27B</t>
        </is>
      </c>
      <c r="D8" s="6" t="inlineStr">
        <is>
          <t>1k</t>
        </is>
      </c>
      <c r="E8" s="6" t="inlineStr">
        <is>
          <t>r16/a32/all-linear</t>
        </is>
      </c>
      <c r="F8" s="6" t="n">
        <v>8</v>
      </c>
      <c r="G8" s="6" t="n">
        <v>1</v>
      </c>
      <c r="H8" s="6" t="b">
        <v>1</v>
      </c>
      <c r="I8" s="6" t="n">
        <v>116727808</v>
      </c>
      <c r="J8" s="6" t="n">
        <v>8</v>
      </c>
      <c r="K8" s="6" t="n">
        <v>262144</v>
      </c>
      <c r="L8" s="6" t="n">
        <v>5.398</v>
      </c>
      <c r="N8" s="6" t="n">
        <v>6.054</v>
      </c>
      <c r="O8" s="6" t="n">
        <v>809.37</v>
      </c>
      <c r="P8" s="6" t="n">
        <v>809.4400000000001</v>
      </c>
      <c r="Q8" s="6" t="n">
        <v>70.652</v>
      </c>
      <c r="R8" s="6" t="n">
        <v>1.137</v>
      </c>
      <c r="S8" s="6" t="n">
        <v>0.975</v>
      </c>
      <c r="T8" s="6" t="b">
        <v>1</v>
      </c>
      <c r="U8" s="6" t="inlineStr">
        <is>
          <t>Valid</t>
        </is>
      </c>
      <c r="V8" s="6" t="inlineStr">
        <is>
          <t>Gradient checkpointing required to fit on one 80GB GPU</t>
        </is>
      </c>
    </row>
    <row r="9" ht="14.5" customHeight="1" s="8">
      <c r="A9" s="6" t="inlineStr">
        <is>
          <t>A100</t>
        </is>
      </c>
      <c r="B9" s="6" t="inlineStr">
        <is>
          <t>NVIDIA A100-SXM4-80GB</t>
        </is>
      </c>
      <c r="C9" s="6" t="inlineStr">
        <is>
          <t>Qwen3.5-27B</t>
        </is>
      </c>
      <c r="D9" s="6" t="inlineStr">
        <is>
          <t>5k</t>
        </is>
      </c>
      <c r="E9" s="6" t="inlineStr">
        <is>
          <t>r16/a32/all-linear</t>
        </is>
      </c>
      <c r="F9" s="6" t="n">
        <v>8</v>
      </c>
      <c r="G9" s="6" t="n">
        <v>1</v>
      </c>
      <c r="H9" s="6" t="b">
        <v>1</v>
      </c>
      <c r="I9" s="6" t="n">
        <v>116727808</v>
      </c>
      <c r="J9" s="6" t="n">
        <v>43</v>
      </c>
      <c r="K9" s="6" t="n">
        <v>1409024</v>
      </c>
      <c r="L9" s="6" t="n">
        <v>29.008</v>
      </c>
      <c r="N9" s="6" t="n">
        <v>30.216</v>
      </c>
      <c r="O9" s="6" t="n">
        <v>809.55</v>
      </c>
      <c r="P9" s="6" t="n">
        <v>809.8200000000001</v>
      </c>
      <c r="Q9" s="6" t="n">
        <v>70.652</v>
      </c>
      <c r="R9" s="6" t="n">
        <v>1.137</v>
      </c>
      <c r="S9" s="6" t="n">
        <v>0.957</v>
      </c>
      <c r="T9" s="6" t="b">
        <v>1</v>
      </c>
      <c r="U9" s="6" t="inlineStr">
        <is>
          <t>Valid</t>
        </is>
      </c>
      <c r="V9" s="6" t="inlineStr">
        <is>
          <t>Gradient checkpointing required to fit on one 80GB GPU</t>
        </is>
      </c>
    </row>
    <row r="10" ht="14.5" customHeight="1" s="8">
      <c r="A10" s="6" t="inlineStr">
        <is>
          <t>A100</t>
        </is>
      </c>
      <c r="B10" s="6" t="inlineStr">
        <is>
          <t>NVIDIA A100-SXM4-80GB</t>
        </is>
      </c>
      <c r="C10" s="6" t="inlineStr">
        <is>
          <t>Qwen3.5-27B</t>
        </is>
      </c>
      <c r="D10" s="6" t="inlineStr">
        <is>
          <t>10k</t>
        </is>
      </c>
      <c r="E10" s="6" t="inlineStr">
        <is>
          <t>r16/a32/all-linear</t>
        </is>
      </c>
      <c r="F10" s="6" t="n">
        <v>8</v>
      </c>
      <c r="G10" s="6" t="n">
        <v>1</v>
      </c>
      <c r="H10" s="6" t="b">
        <v>1</v>
      </c>
      <c r="I10" s="6" t="n">
        <v>116727808</v>
      </c>
      <c r="J10" s="6" t="n">
        <v>87</v>
      </c>
      <c r="K10" s="6" t="n">
        <v>2850816</v>
      </c>
      <c r="L10" s="6" t="n">
        <v>58.695</v>
      </c>
      <c r="N10" s="6" t="n">
        <v>59.356</v>
      </c>
      <c r="O10" s="6" t="n">
        <v>809.5</v>
      </c>
      <c r="P10" s="6" t="n">
        <v>809.74</v>
      </c>
      <c r="Q10" s="6" t="n">
        <v>70.652</v>
      </c>
      <c r="R10" s="6" t="n">
        <v>1.137</v>
      </c>
      <c r="S10" s="6" t="n">
        <v>0.909</v>
      </c>
      <c r="T10" s="6" t="b">
        <v>1</v>
      </c>
      <c r="U10" s="6" t="inlineStr">
        <is>
          <t>Valid</t>
        </is>
      </c>
      <c r="V10" s="6" t="inlineStr">
        <is>
          <t>Gradient checkpointing required to fit on one 80GB GPU</t>
        </is>
      </c>
    </row>
    <row r="11" ht="14.5" customHeight="1" s="8">
      <c r="A11" s="6" t="inlineStr">
        <is>
          <t>H100</t>
        </is>
      </c>
      <c r="B11" s="6" t="inlineStr">
        <is>
          <t>NVIDIA H100 PCIe</t>
        </is>
      </c>
      <c r="C11" s="6" t="inlineStr">
        <is>
          <t>Qwen3.5-4B</t>
        </is>
      </c>
      <c r="D11" s="6" t="inlineStr">
        <is>
          <t>1k</t>
        </is>
      </c>
      <c r="E11" s="6" t="inlineStr">
        <is>
          <t>r16/a32/all-linear</t>
        </is>
      </c>
      <c r="F11" s="6" t="n">
        <v>8</v>
      </c>
      <c r="G11" s="6" t="n">
        <v>1</v>
      </c>
      <c r="H11" s="6" t="b">
        <v>0</v>
      </c>
      <c r="I11" s="6" t="n">
        <v>32464896</v>
      </c>
      <c r="J11" s="6" t="n">
        <v>8</v>
      </c>
      <c r="K11" s="6" t="n">
        <v>262144</v>
      </c>
      <c r="L11" s="6" t="n">
        <v>0.757</v>
      </c>
      <c r="N11" s="6" t="n">
        <v>1.373</v>
      </c>
      <c r="O11" s="6" t="n">
        <v>5774.21</v>
      </c>
      <c r="P11" s="6" t="n">
        <v>5804.29</v>
      </c>
      <c r="Q11" s="6" t="n">
        <v>59.531</v>
      </c>
      <c r="R11" s="6" t="n">
        <v>1.224</v>
      </c>
      <c r="S11" s="6" t="n">
        <v>1.126</v>
      </c>
      <c r="T11" s="6" t="b">
        <v>1</v>
      </c>
      <c r="U11" s="6" t="inlineStr">
        <is>
          <t>Valid</t>
        </is>
      </c>
    </row>
    <row r="12" ht="14.5" customHeight="1" s="8">
      <c r="A12" s="6" t="inlineStr">
        <is>
          <t>H100</t>
        </is>
      </c>
      <c r="B12" s="6" t="inlineStr">
        <is>
          <t>NVIDIA H100 PCIe</t>
        </is>
      </c>
      <c r="C12" s="6" t="inlineStr">
        <is>
          <t>Qwen3.5-4B</t>
        </is>
      </c>
      <c r="D12" s="6" t="inlineStr">
        <is>
          <t>5k</t>
        </is>
      </c>
      <c r="E12" s="6" t="inlineStr">
        <is>
          <t>r16/a32/all-linear</t>
        </is>
      </c>
      <c r="F12" s="6" t="n">
        <v>8</v>
      </c>
      <c r="G12" s="6" t="n">
        <v>1</v>
      </c>
      <c r="H12" s="6" t="b">
        <v>0</v>
      </c>
      <c r="I12" s="6" t="n">
        <v>32464896</v>
      </c>
      <c r="J12" s="6" t="n">
        <v>43</v>
      </c>
      <c r="K12" s="6" t="n">
        <v>1409024</v>
      </c>
      <c r="L12" s="6" t="n">
        <v>4.567</v>
      </c>
      <c r="N12" s="6" t="n">
        <v>4.663</v>
      </c>
      <c r="O12" s="6" t="n">
        <v>5141.89</v>
      </c>
      <c r="P12" s="6" t="n">
        <v>5127.09</v>
      </c>
      <c r="Q12" s="6" t="n">
        <v>59.531</v>
      </c>
      <c r="R12" s="6" t="n">
        <v>1.224</v>
      </c>
      <c r="S12" s="6" t="n">
        <v>1.101</v>
      </c>
      <c r="T12" s="6" t="b">
        <v>1</v>
      </c>
      <c r="U12" s="6" t="inlineStr">
        <is>
          <t>Valid</t>
        </is>
      </c>
      <c r="V12" s="6" t="inlineStr">
        <is>
          <t>~11% slower steady-state than the 1k run on the same GPU/model — see Notes</t>
        </is>
      </c>
    </row>
    <row r="13" ht="14.5" customHeight="1" s="8">
      <c r="A13" s="6" t="inlineStr">
        <is>
          <t>H100</t>
        </is>
      </c>
      <c r="B13" s="6" t="inlineStr">
        <is>
          <t>NVIDIA H100 PCIe</t>
        </is>
      </c>
      <c r="C13" s="6" t="inlineStr">
        <is>
          <t>Qwen3.5-4B</t>
        </is>
      </c>
      <c r="D13" s="6" t="inlineStr">
        <is>
          <t>10k</t>
        </is>
      </c>
      <c r="E13" s="6" t="inlineStr">
        <is>
          <t>r16/a32/all-linear</t>
        </is>
      </c>
      <c r="F13" s="6" t="n">
        <v>8</v>
      </c>
      <c r="G13" s="6" t="n">
        <v>1</v>
      </c>
      <c r="H13" s="6" t="b">
        <v>0</v>
      </c>
      <c r="I13" s="6" t="n">
        <v>32464896</v>
      </c>
      <c r="J13" s="6" t="n">
        <v>87</v>
      </c>
      <c r="K13" s="6" t="n">
        <v>2850816</v>
      </c>
      <c r="L13" s="6" t="n">
        <v>9.259</v>
      </c>
      <c r="N13" s="6" t="n">
        <v>9.355</v>
      </c>
      <c r="O13" s="6" t="n">
        <v>5131.83</v>
      </c>
      <c r="P13" s="6" t="n">
        <v>5121.91</v>
      </c>
      <c r="Q13" s="6" t="n">
        <v>59.531</v>
      </c>
      <c r="R13" s="6" t="n">
        <v>1.224</v>
      </c>
      <c r="S13" s="6" t="n">
        <v>1.058</v>
      </c>
      <c r="T13" s="6" t="b">
        <v>1</v>
      </c>
      <c r="U13" s="6" t="inlineStr">
        <is>
          <t>Valid</t>
        </is>
      </c>
      <c r="V13" s="6" t="inlineStr">
        <is>
          <t>~11% slower steady-state than the 1k run on the same GPU/model — see Notes</t>
        </is>
      </c>
    </row>
    <row r="14" ht="14.5" customHeight="1" s="8">
      <c r="A14" s="6" t="inlineStr">
        <is>
          <t>H100</t>
        </is>
      </c>
      <c r="B14" s="6" t="inlineStr">
        <is>
          <t>NVIDIA H100 PCIe</t>
        </is>
      </c>
      <c r="C14" s="6" t="inlineStr">
        <is>
          <t>Qwen3.5-9B</t>
        </is>
      </c>
      <c r="D14" s="6" t="inlineStr">
        <is>
          <t>1k</t>
        </is>
      </c>
      <c r="E14" s="6" t="inlineStr">
        <is>
          <t>r16/a32/all-linear</t>
        </is>
      </c>
      <c r="F14" s="6" t="n">
        <v>8</v>
      </c>
      <c r="G14" s="6" t="n">
        <v>1</v>
      </c>
      <c r="H14" s="6" t="b">
        <v>0</v>
      </c>
      <c r="I14" s="6" t="n">
        <v>43278336</v>
      </c>
      <c r="J14" s="6" t="n">
        <v>8</v>
      </c>
      <c r="K14" s="6" t="n">
        <v>262144</v>
      </c>
      <c r="L14" s="6" t="n">
        <v>1.143</v>
      </c>
      <c r="N14" s="6" t="n">
        <v>1.258</v>
      </c>
      <c r="O14" s="6" t="n">
        <v>3820.94</v>
      </c>
      <c r="P14" s="6" t="n">
        <v>3739.78</v>
      </c>
      <c r="Q14" s="6" t="n">
        <v>79.46899999999999</v>
      </c>
      <c r="R14" s="6" t="n">
        <v>1.181</v>
      </c>
      <c r="S14" s="6" t="n">
        <v>1.054</v>
      </c>
      <c r="T14" s="6" t="b">
        <v>1</v>
      </c>
      <c r="U14" s="6" t="inlineStr">
        <is>
          <t>Valid</t>
        </is>
      </c>
      <c r="V14" s="6" t="inlineStr">
        <is>
          <t>Peak memory very close to the 80GB limit without checkpointing</t>
        </is>
      </c>
    </row>
    <row r="15" ht="14.5" customHeight="1" s="8">
      <c r="A15" s="6" t="inlineStr">
        <is>
          <t>H100</t>
        </is>
      </c>
      <c r="B15" s="6" t="inlineStr">
        <is>
          <t>NVIDIA H100 PCIe</t>
        </is>
      </c>
      <c r="C15" s="6" t="inlineStr">
        <is>
          <t>Qwen3.5-9B</t>
        </is>
      </c>
      <c r="D15" s="6" t="inlineStr">
        <is>
          <t>5k</t>
        </is>
      </c>
      <c r="E15" s="6" t="inlineStr">
        <is>
          <t>r16/a32/all-linear</t>
        </is>
      </c>
      <c r="F15" s="6" t="n">
        <v>8</v>
      </c>
      <c r="G15" s="6" t="n">
        <v>1</v>
      </c>
      <c r="H15" s="6" t="b">
        <v>0</v>
      </c>
      <c r="I15" s="6" t="n">
        <v>43278336</v>
      </c>
      <c r="J15" s="6" t="n">
        <v>43</v>
      </c>
      <c r="K15" s="6" t="n">
        <v>1409024</v>
      </c>
      <c r="L15" s="6" t="n">
        <v>6.497</v>
      </c>
      <c r="N15" s="6" t="n">
        <v>6.613</v>
      </c>
      <c r="O15" s="6" t="n">
        <v>3614.7</v>
      </c>
      <c r="P15" s="6" t="n">
        <v>3603.26</v>
      </c>
      <c r="Q15" s="6" t="n">
        <v>79.46899999999999</v>
      </c>
      <c r="R15" s="6" t="n">
        <v>1.181</v>
      </c>
      <c r="S15" s="6" t="n">
        <v>1.03</v>
      </c>
      <c r="T15" s="6" t="b">
        <v>1</v>
      </c>
      <c r="U15" s="6" t="inlineStr">
        <is>
          <t>Valid</t>
        </is>
      </c>
      <c r="V15" s="6" t="inlineStr">
        <is>
          <t>Peak memory very close to the 80GB limit without checkpointing</t>
        </is>
      </c>
    </row>
    <row r="16" ht="14.5" customHeight="1" s="8">
      <c r="A16" s="6" t="inlineStr">
        <is>
          <t>H100</t>
        </is>
      </c>
      <c r="B16" s="6" t="inlineStr">
        <is>
          <t>NVIDIA H100 PCIe</t>
        </is>
      </c>
      <c r="C16" s="6" t="inlineStr">
        <is>
          <t>Qwen3.5-9B</t>
        </is>
      </c>
      <c r="D16" s="6" t="inlineStr">
        <is>
          <t>10k</t>
        </is>
      </c>
      <c r="E16" s="6" t="inlineStr">
        <is>
          <t>r16/a32/all-linear</t>
        </is>
      </c>
      <c r="F16" s="6" t="n">
        <v>8</v>
      </c>
      <c r="G16" s="6" t="n">
        <v>1</v>
      </c>
      <c r="H16" s="6" t="b">
        <v>0</v>
      </c>
      <c r="I16" s="6" t="n">
        <v>43278336</v>
      </c>
      <c r="J16" s="6" t="n">
        <v>87</v>
      </c>
      <c r="K16" s="6" t="n">
        <v>2850816</v>
      </c>
      <c r="L16" s="6" t="n">
        <v>13.167</v>
      </c>
      <c r="N16" s="6" t="n">
        <v>13.284</v>
      </c>
      <c r="O16" s="6" t="n">
        <v>3608.41</v>
      </c>
      <c r="P16" s="6" t="n">
        <v>3603.12</v>
      </c>
      <c r="Q16" s="6" t="n">
        <v>79.46899999999999</v>
      </c>
      <c r="R16" s="6" t="n">
        <v>1.181</v>
      </c>
      <c r="S16" s="6" t="n">
        <v>0.984</v>
      </c>
      <c r="T16" s="6" t="b">
        <v>1</v>
      </c>
      <c r="U16" s="6" t="inlineStr">
        <is>
          <t>Valid</t>
        </is>
      </c>
      <c r="V16" s="6" t="inlineStr">
        <is>
          <t>Peak memory very close to the 80GB limit without checkpointing</t>
        </is>
      </c>
    </row>
    <row r="17" ht="14.5" customHeight="1" s="8">
      <c r="A17" s="6" t="inlineStr">
        <is>
          <t>H100</t>
        </is>
      </c>
      <c r="B17" s="6" t="inlineStr">
        <is>
          <t>NVIDIA H100 PCIe</t>
        </is>
      </c>
      <c r="C17" s="6" t="inlineStr">
        <is>
          <t>Qwen3.5-27B</t>
        </is>
      </c>
      <c r="D17" s="6" t="inlineStr">
        <is>
          <t>1k</t>
        </is>
      </c>
      <c r="E17" s="6" t="inlineStr">
        <is>
          <t>r16/a32/all-linear</t>
        </is>
      </c>
      <c r="F17" s="6" t="n">
        <v>8</v>
      </c>
      <c r="G17" s="6" t="n">
        <v>1</v>
      </c>
      <c r="H17" s="6" t="b">
        <v>1</v>
      </c>
      <c r="I17" s="6" t="n">
        <v>116727808</v>
      </c>
      <c r="J17" s="6" t="n">
        <v>8</v>
      </c>
      <c r="K17" s="6" t="n">
        <v>262144</v>
      </c>
      <c r="L17" s="6" t="n">
        <v>4.832</v>
      </c>
      <c r="N17" s="6" t="n">
        <v>6.783</v>
      </c>
      <c r="O17" s="6" t="n">
        <v>904.27</v>
      </c>
      <c r="P17" s="6" t="n">
        <v>875.0599999999999</v>
      </c>
      <c r="Q17" s="6" t="n">
        <v>70.702</v>
      </c>
      <c r="R17" s="6" t="n">
        <v>1.137</v>
      </c>
      <c r="S17" s="6" t="n">
        <v>0.973</v>
      </c>
      <c r="T17" s="6" t="b">
        <v>1</v>
      </c>
      <c r="U17" s="6" t="inlineStr">
        <is>
          <t>Valid</t>
        </is>
      </c>
      <c r="V17" s="6" t="inlineStr">
        <is>
          <t>First successful H100 27B run — earlier attempts crashed with a CUDA driver error unrelated to this methodology</t>
        </is>
      </c>
    </row>
    <row r="18" ht="14.5" customHeight="1" s="8">
      <c r="A18" s="6" t="inlineStr">
        <is>
          <t>H100</t>
        </is>
      </c>
      <c r="B18" s="6" t="inlineStr">
        <is>
          <t>NVIDIA H100 PCIe</t>
        </is>
      </c>
      <c r="C18" s="6" t="inlineStr">
        <is>
          <t>Qwen3.5-27B</t>
        </is>
      </c>
      <c r="D18" s="6" t="inlineStr">
        <is>
          <t>5k</t>
        </is>
      </c>
      <c r="E18" s="6" t="inlineStr">
        <is>
          <t>r16/a32/all-linear</t>
        </is>
      </c>
      <c r="F18" s="6" t="n">
        <v>8</v>
      </c>
      <c r="G18" s="6" t="n">
        <v>1</v>
      </c>
      <c r="H18" s="6" t="b">
        <v>1</v>
      </c>
      <c r="I18" s="6" t="n">
        <v>116727808</v>
      </c>
      <c r="J18" s="6" t="n">
        <v>43</v>
      </c>
      <c r="K18" s="6" t="n">
        <v>1409024</v>
      </c>
      <c r="L18" s="6" t="n">
        <v>26.862</v>
      </c>
      <c r="N18" s="6" t="n">
        <v>27.39</v>
      </c>
      <c r="O18" s="6" t="n">
        <v>874.23</v>
      </c>
      <c r="P18" s="6" t="n">
        <v>873.3099999999999</v>
      </c>
      <c r="Q18" s="6" t="n">
        <v>70.702</v>
      </c>
      <c r="R18" s="6" t="n">
        <v>1.137</v>
      </c>
      <c r="S18" s="6" t="n">
        <v>0.956</v>
      </c>
      <c r="T18" s="6" t="b">
        <v>1</v>
      </c>
      <c r="U18" s="6" t="inlineStr">
        <is>
          <t>Valid</t>
        </is>
      </c>
      <c r="V18" s="6" t="inlineStr">
        <is>
          <t>First successful H100 27B run — earlier attempts crashed with a CUDA driver error unrelated to this methodology</t>
        </is>
      </c>
    </row>
    <row r="19" ht="14.5" customHeight="1" s="8">
      <c r="A19" s="6" t="inlineStr">
        <is>
          <t>H100</t>
        </is>
      </c>
      <c r="B19" s="6" t="inlineStr">
        <is>
          <t>NVIDIA H100 PCIe</t>
        </is>
      </c>
      <c r="C19" s="6" t="inlineStr">
        <is>
          <t>Qwen3.5-27B</t>
        </is>
      </c>
      <c r="D19" s="6" t="inlineStr">
        <is>
          <t>10k</t>
        </is>
      </c>
      <c r="E19" s="6" t="inlineStr">
        <is>
          <t>r16/a32/all-linear</t>
        </is>
      </c>
      <c r="F19" s="6" t="n">
        <v>8</v>
      </c>
      <c r="G19" s="6" t="n">
        <v>1</v>
      </c>
      <c r="H19" s="6" t="b">
        <v>1</v>
      </c>
      <c r="I19" s="6" t="n">
        <v>116727808</v>
      </c>
      <c r="J19" s="6" t="n">
        <v>87</v>
      </c>
      <c r="K19" s="6" t="n">
        <v>2850816</v>
      </c>
      <c r="L19" s="6" t="n">
        <v>54.413</v>
      </c>
      <c r="N19" s="6" t="n">
        <v>54.937</v>
      </c>
      <c r="O19" s="6" t="n">
        <v>873.21</v>
      </c>
      <c r="P19" s="6" t="n">
        <v>872.39</v>
      </c>
      <c r="Q19" s="6" t="n">
        <v>70.702</v>
      </c>
      <c r="R19" s="6" t="n">
        <v>1.137</v>
      </c>
      <c r="S19" s="6" t="n">
        <v>0.909</v>
      </c>
      <c r="T19" s="6" t="b">
        <v>1</v>
      </c>
      <c r="U19" s="6" t="inlineStr">
        <is>
          <t>Valid</t>
        </is>
      </c>
      <c r="V19" s="6" t="inlineStr">
        <is>
          <t>First successful H100 27B run — earlier attempts crashed with a CUDA driver error unrelated to this methodology</t>
        </is>
      </c>
    </row>
    <row r="20" ht="14.5" customHeight="1" s="8">
      <c r="A20" s="6" t="inlineStr">
        <is>
          <t>Together</t>
        </is>
      </c>
      <c r="B20" s="6" t="inlineStr">
        <is>
          <t>not disclosed</t>
        </is>
      </c>
      <c r="C20" s="6" t="inlineStr">
        <is>
          <t>Qwen3.5-4B</t>
        </is>
      </c>
      <c r="D20" s="6" t="inlineStr">
        <is>
          <t>1k</t>
        </is>
      </c>
      <c r="E20" s="6" t="inlineStr">
        <is>
          <t>r16/a32/all-linear</t>
        </is>
      </c>
      <c r="F20" s="6" t="n">
        <v>8</v>
      </c>
      <c r="G20" s="6" t="n">
        <v>8</v>
      </c>
      <c r="H20" s="6" t="inlineStr">
        <is>
          <t>not disclosed</t>
        </is>
      </c>
      <c r="J20" s="6" t="n">
        <v>21</v>
      </c>
      <c r="K20" s="6" t="n">
        <v>287860</v>
      </c>
      <c r="L20" s="6" t="n">
        <v>4.9</v>
      </c>
      <c r="M20" s="6" t="n">
        <v>5.034</v>
      </c>
      <c r="N20" s="6" t="n">
        <v>16.051</v>
      </c>
      <c r="O20" s="6" t="n">
        <v>979.12</v>
      </c>
      <c r="U20" s="6" t="inlineStr">
        <is>
          <t>Caution</t>
        </is>
      </c>
      <c r="V20" s="6" t="inlineStr">
        <is>
          <t>Train time looks distorted by a fixed per-job overhead — slower than the larger 5k/10k jobs despite fewer steps</t>
        </is>
      </c>
    </row>
    <row r="21" ht="15.75" customHeight="1" s="8">
      <c r="A21" s="6" t="inlineStr">
        <is>
          <t>Together</t>
        </is>
      </c>
      <c r="B21" s="6" t="inlineStr">
        <is>
          <t>not disclosed</t>
        </is>
      </c>
      <c r="C21" s="6" t="inlineStr">
        <is>
          <t>Qwen3.5-4B</t>
        </is>
      </c>
      <c r="D21" s="6" t="inlineStr">
        <is>
          <t>5k</t>
        </is>
      </c>
      <c r="E21" s="6" t="inlineStr">
        <is>
          <t>r16/a32/all-linear</t>
        </is>
      </c>
      <c r="F21" s="6" t="n">
        <v>8</v>
      </c>
      <c r="G21" s="6" t="n">
        <v>8</v>
      </c>
      <c r="H21" s="6" t="inlineStr">
        <is>
          <t>not disclosed</t>
        </is>
      </c>
      <c r="J21" s="6" t="n">
        <v>44</v>
      </c>
      <c r="K21" s="6" t="n">
        <v>1435064</v>
      </c>
      <c r="L21" s="6" t="n">
        <v>2.617</v>
      </c>
      <c r="M21" s="6" t="n">
        <v>5.394</v>
      </c>
      <c r="N21" s="6" t="n">
        <v>12.71</v>
      </c>
      <c r="O21" s="6" t="n">
        <v>9140.540000000001</v>
      </c>
      <c r="U21" s="6" t="inlineStr">
        <is>
          <t>Valid</t>
        </is>
      </c>
    </row>
    <row r="22" ht="15.75" customHeight="1" s="8">
      <c r="A22" s="6" t="inlineStr">
        <is>
          <t>Together</t>
        </is>
      </c>
      <c r="B22" s="6" t="inlineStr">
        <is>
          <t>not disclosed</t>
        </is>
      </c>
      <c r="C22" s="6" t="inlineStr">
        <is>
          <t>Qwen3.5-4B</t>
        </is>
      </c>
      <c r="D22" s="6" t="inlineStr">
        <is>
          <t>10k</t>
        </is>
      </c>
      <c r="E22" s="6" t="inlineStr">
        <is>
          <t>r16/a32/all-linear</t>
        </is>
      </c>
      <c r="F22" s="6" t="n">
        <v>8</v>
      </c>
      <c r="G22" s="6" t="n">
        <v>8</v>
      </c>
      <c r="H22" s="6" t="inlineStr">
        <is>
          <t>not disclosed</t>
        </is>
      </c>
      <c r="J22" s="6" t="n">
        <v>88</v>
      </c>
      <c r="K22" s="6" t="n">
        <v>2854762</v>
      </c>
      <c r="L22" s="6" t="n">
        <v>3.1</v>
      </c>
      <c r="M22" s="6" t="n">
        <v>5.326</v>
      </c>
      <c r="N22" s="6" t="n">
        <v>19.259</v>
      </c>
      <c r="O22" s="6" t="n">
        <v>15348.18</v>
      </c>
      <c r="U22" s="6" t="inlineStr">
        <is>
          <t>Valid</t>
        </is>
      </c>
    </row>
    <row r="23" ht="15.75" customHeight="1" s="8">
      <c r="A23" s="6" t="inlineStr">
        <is>
          <t>Together</t>
        </is>
      </c>
      <c r="B23" s="6" t="inlineStr">
        <is>
          <t>not disclosed</t>
        </is>
      </c>
      <c r="C23" s="6" t="inlineStr">
        <is>
          <t>Qwen3.5-9B</t>
        </is>
      </c>
      <c r="D23" s="6" t="inlineStr">
        <is>
          <t>1k</t>
        </is>
      </c>
      <c r="E23" s="6" t="inlineStr">
        <is>
          <t>r16/a32/all-linear</t>
        </is>
      </c>
      <c r="F23" s="6" t="n">
        <v>8</v>
      </c>
      <c r="G23" s="6" t="n">
        <v>8</v>
      </c>
      <c r="H23" s="6" t="inlineStr">
        <is>
          <t>not disclosed</t>
        </is>
      </c>
      <c r="J23" s="6" t="n">
        <v>21</v>
      </c>
      <c r="K23" s="6" t="n">
        <v>287860</v>
      </c>
      <c r="L23" s="6" t="n">
        <v>5.067</v>
      </c>
      <c r="M23" s="6" t="n">
        <v>5.216</v>
      </c>
      <c r="N23" s="6" t="n">
        <v>18.466</v>
      </c>
      <c r="O23" s="6" t="n">
        <v>946.91</v>
      </c>
      <c r="U23" s="6" t="inlineStr">
        <is>
          <t>Caution</t>
        </is>
      </c>
      <c r="V23" s="6" t="inlineStr">
        <is>
          <t>Train time looks distorted by a fixed per-job overhead — slower than the larger 5k/10k jobs despite fewer steps</t>
        </is>
      </c>
    </row>
    <row r="24" ht="15.75" customHeight="1" s="8">
      <c r="A24" s="6" t="inlineStr">
        <is>
          <t>Together</t>
        </is>
      </c>
      <c r="B24" s="6" t="inlineStr">
        <is>
          <t>not disclosed</t>
        </is>
      </c>
      <c r="C24" s="6" t="inlineStr">
        <is>
          <t>Qwen3.5-9B</t>
        </is>
      </c>
      <c r="D24" s="6" t="inlineStr">
        <is>
          <t>5k</t>
        </is>
      </c>
      <c r="E24" s="6" t="inlineStr">
        <is>
          <t>r16/a32/all-linear</t>
        </is>
      </c>
      <c r="F24" s="6" t="n">
        <v>8</v>
      </c>
      <c r="G24" s="6" t="n">
        <v>8</v>
      </c>
      <c r="H24" s="6" t="inlineStr">
        <is>
          <t>not disclosed</t>
        </is>
      </c>
      <c r="J24" s="6" t="n">
        <v>44</v>
      </c>
      <c r="K24" s="6" t="n">
        <v>1435064</v>
      </c>
      <c r="L24" s="6" t="n">
        <v>2.983</v>
      </c>
      <c r="M24" s="6" t="n">
        <v>5.85</v>
      </c>
      <c r="N24" s="6" t="n">
        <v>16.833</v>
      </c>
      <c r="O24" s="6" t="n">
        <v>8017.12</v>
      </c>
      <c r="U24" s="6" t="inlineStr">
        <is>
          <t>Valid</t>
        </is>
      </c>
    </row>
    <row r="25" ht="15.75" customHeight="1" s="8">
      <c r="A25" s="6" t="inlineStr">
        <is>
          <t>Together</t>
        </is>
      </c>
      <c r="B25" s="6" t="inlineStr">
        <is>
          <t>not disclosed</t>
        </is>
      </c>
      <c r="C25" s="6" t="inlineStr">
        <is>
          <t>Qwen3.5-9B</t>
        </is>
      </c>
      <c r="D25" s="6" t="inlineStr">
        <is>
          <t>10k</t>
        </is>
      </c>
      <c r="E25" s="6" t="inlineStr">
        <is>
          <t>r16/a32/all-linear</t>
        </is>
      </c>
      <c r="F25" s="6" t="n">
        <v>8</v>
      </c>
      <c r="G25" s="6" t="n">
        <v>8</v>
      </c>
      <c r="H25" s="6" t="inlineStr">
        <is>
          <t>not disclosed</t>
        </is>
      </c>
      <c r="J25" s="6" t="n">
        <v>88</v>
      </c>
      <c r="K25" s="6" t="n">
        <v>2854762</v>
      </c>
      <c r="L25" s="6" t="n">
        <v>3.533</v>
      </c>
      <c r="M25" s="6" t="n">
        <v>13.515</v>
      </c>
      <c r="N25" s="6" t="n">
        <v>27.748</v>
      </c>
      <c r="O25" s="6" t="n">
        <v>13465.86</v>
      </c>
      <c r="U25" s="6" t="inlineStr">
        <is>
          <t>Valid</t>
        </is>
      </c>
    </row>
    <row r="26" ht="15.75" customHeight="1" s="8">
      <c r="A26" s="6" t="inlineStr">
        <is>
          <t>Together</t>
        </is>
      </c>
      <c r="B26" s="6" t="inlineStr">
        <is>
          <t>not disclosed</t>
        </is>
      </c>
      <c r="C26" s="6" t="inlineStr">
        <is>
          <t>Qwen3.5-27B</t>
        </is>
      </c>
      <c r="D26" s="6" t="inlineStr">
        <is>
          <t>1k</t>
        </is>
      </c>
      <c r="E26" s="6" t="inlineStr">
        <is>
          <t>r16/a32/all-linear</t>
        </is>
      </c>
      <c r="F26" s="6" t="n">
        <v>8</v>
      </c>
      <c r="G26" s="6" t="n">
        <v>2</v>
      </c>
      <c r="H26" s="6" t="inlineStr">
        <is>
          <t>not disclosed</t>
        </is>
      </c>
      <c r="J26" s="6" t="n">
        <v>21</v>
      </c>
      <c r="K26" s="6" t="n">
        <v>287860</v>
      </c>
      <c r="L26" s="6" t="n">
        <v>6.333</v>
      </c>
      <c r="M26" s="6" t="n">
        <v>6.104</v>
      </c>
      <c r="N26" s="6" t="n">
        <v>23.871</v>
      </c>
      <c r="O26" s="6" t="n">
        <v>757.53</v>
      </c>
      <c r="U26" s="6" t="inlineStr">
        <is>
          <t>Caution</t>
        </is>
      </c>
      <c r="V26" s="6" t="inlineStr">
        <is>
          <t>Train time looks distorted by a fixed per-job overhead; grad accumulation=4 auto-applied to reach effective batch 8</t>
        </is>
      </c>
    </row>
    <row r="27" ht="15.75" customHeight="1" s="8">
      <c r="A27" s="6" t="inlineStr">
        <is>
          <t>Together</t>
        </is>
      </c>
      <c r="B27" s="6" t="inlineStr">
        <is>
          <t>not disclosed</t>
        </is>
      </c>
      <c r="C27" s="6" t="inlineStr">
        <is>
          <t>Qwen3.5-27B</t>
        </is>
      </c>
      <c r="D27" s="6" t="inlineStr">
        <is>
          <t>5k</t>
        </is>
      </c>
      <c r="E27" s="6" t="inlineStr">
        <is>
          <t>r16/a32/all-linear</t>
        </is>
      </c>
      <c r="F27" s="6" t="n">
        <v>8</v>
      </c>
      <c r="G27" s="6" t="n">
        <v>2</v>
      </c>
      <c r="H27" s="6" t="inlineStr">
        <is>
          <t>not disclosed</t>
        </is>
      </c>
      <c r="J27" s="6" t="n">
        <v>44</v>
      </c>
      <c r="K27" s="6" t="n">
        <v>1435064</v>
      </c>
      <c r="L27" s="6" t="n">
        <v>7.167</v>
      </c>
      <c r="M27" s="6" t="n">
        <v>5.487</v>
      </c>
      <c r="N27" s="6" t="n">
        <v>40.97</v>
      </c>
      <c r="O27" s="6" t="n">
        <v>3337.36</v>
      </c>
      <c r="U27" s="6" t="inlineStr">
        <is>
          <t>Valid</t>
        </is>
      </c>
      <c r="V27" s="6" t="inlineStr">
        <is>
          <t>Grad accumulation=4 auto-applied to reach effective batch 8</t>
        </is>
      </c>
    </row>
    <row r="28" ht="15.75" customHeight="1" s="8">
      <c r="A28" s="6" t="inlineStr">
        <is>
          <t>Together</t>
        </is>
      </c>
      <c r="B28" s="6" t="inlineStr">
        <is>
          <t>not disclosed</t>
        </is>
      </c>
      <c r="C28" s="6" t="inlineStr">
        <is>
          <t>Qwen3.5-27B</t>
        </is>
      </c>
      <c r="D28" s="6" t="inlineStr">
        <is>
          <t>10k</t>
        </is>
      </c>
      <c r="E28" s="6" t="inlineStr">
        <is>
          <t>r16/a32/all-linear</t>
        </is>
      </c>
      <c r="F28" s="6" t="n">
        <v>8</v>
      </c>
      <c r="G28" s="6" t="n">
        <v>2</v>
      </c>
      <c r="H28" s="6" t="inlineStr">
        <is>
          <t>not disclosed</t>
        </is>
      </c>
      <c r="J28" s="6" t="n">
        <v>88</v>
      </c>
      <c r="K28" s="6" t="n">
        <v>2854762</v>
      </c>
      <c r="L28" s="6" t="n">
        <v>10.933</v>
      </c>
      <c r="M28" s="6" t="n">
        <v>16.151</v>
      </c>
      <c r="N28" s="6" t="n">
        <v>41.434</v>
      </c>
      <c r="O28" s="6" t="n">
        <v>4351.77</v>
      </c>
      <c r="U28" s="6" t="inlineStr">
        <is>
          <t>Valid</t>
        </is>
      </c>
      <c r="V28" s="6" t="inlineStr">
        <is>
          <t>Grad accumulation=4 auto-applied to reach effective batch 8</t>
        </is>
      </c>
    </row>
    <row r="29" ht="15.75" customHeight="1" s="8">
      <c r="A29" s="6" t="inlineStr">
        <is>
          <t>A100</t>
        </is>
      </c>
      <c r="B29" s="6" t="inlineStr">
        <is>
          <t>NVIDIA A100-SXM4-80GB</t>
        </is>
      </c>
      <c r="C29" s="6" t="inlineStr">
        <is>
          <t>gpt-oss-20B</t>
        </is>
      </c>
      <c r="D29" s="6" t="inlineStr">
        <is>
          <t>1k</t>
        </is>
      </c>
      <c r="E29" s="6" t="inlineStr">
        <is>
          <t>r16/a32/all-linear</t>
        </is>
      </c>
      <c r="F29" s="6" t="n">
        <v>8</v>
      </c>
      <c r="G29" s="6" t="n">
        <v>1</v>
      </c>
      <c r="H29" s="6" t="b">
        <v>1</v>
      </c>
      <c r="I29" s="6" t="n">
        <v>7962624</v>
      </c>
      <c r="J29" s="6" t="n">
        <v>10</v>
      </c>
      <c r="K29" s="6" t="n">
        <v>327680</v>
      </c>
      <c r="L29" s="6" t="n">
        <v>4.631636578317072</v>
      </c>
      <c r="N29" s="6" t="n">
        <v>6.951940517899735</v>
      </c>
      <c r="O29" s="6" t="n">
        <v>1179.136843097853</v>
      </c>
      <c r="P29" s="6" t="n">
        <v>1181.815958686846</v>
      </c>
      <c r="Q29" s="6" t="n">
        <v>52.477411328</v>
      </c>
      <c r="R29" s="6" t="n">
        <v>2.039148911833763</v>
      </c>
      <c r="S29" s="6" t="n">
        <v>0.9968574121594429</v>
      </c>
      <c r="T29" s="6" t="n"/>
      <c r="U29" s="6" t="inlineStr">
        <is>
          <t>Valid</t>
        </is>
      </c>
      <c r="V29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0" ht="15.75" customHeight="1" s="8">
      <c r="A30" s="6" t="inlineStr">
        <is>
          <t>A100</t>
        </is>
      </c>
      <c r="B30" s="6" t="inlineStr">
        <is>
          <t>NVIDIA A100-SXM4-80GB</t>
        </is>
      </c>
      <c r="C30" s="6" t="inlineStr">
        <is>
          <t>gpt-oss-20B</t>
        </is>
      </c>
      <c r="D30" s="6" t="inlineStr">
        <is>
          <t>5k</t>
        </is>
      </c>
      <c r="E30" s="6" t="inlineStr">
        <is>
          <t>r16/a32/all-linear</t>
        </is>
      </c>
      <c r="F30" s="6" t="n">
        <v>8</v>
      </c>
      <c r="G30" s="6" t="n">
        <v>1</v>
      </c>
      <c r="H30" s="6" t="b">
        <v>1</v>
      </c>
      <c r="I30" s="6" t="n">
        <v>7962624</v>
      </c>
      <c r="J30" s="6" t="n">
        <v>51</v>
      </c>
      <c r="K30" s="6" t="n">
        <v>1671168</v>
      </c>
      <c r="L30" s="6" t="n">
        <v>23.58996138628378</v>
      </c>
      <c r="N30" s="6" t="n">
        <v>25.87966004936704</v>
      </c>
      <c r="O30" s="6" t="n">
        <v>1180.705620662644</v>
      </c>
      <c r="P30" s="6" t="n">
        <v>1182.910119796746</v>
      </c>
      <c r="Q30" s="6" t="n">
        <v>52.477411328</v>
      </c>
      <c r="R30" s="6" t="n">
        <v>2.039148911833763</v>
      </c>
      <c r="S30" s="6" t="n">
        <v>0.814163014292717</v>
      </c>
      <c r="T30" s="6" t="n"/>
      <c r="U30" s="6" t="inlineStr">
        <is>
          <t>Valid</t>
        </is>
      </c>
      <c r="V30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1" ht="15.75" customHeight="1" s="8">
      <c r="A31" s="6" t="inlineStr">
        <is>
          <t>A100</t>
        </is>
      </c>
      <c r="B31" s="6" t="inlineStr">
        <is>
          <t>NVIDIA A100-SXM4-80GB</t>
        </is>
      </c>
      <c r="C31" s="6" t="inlineStr">
        <is>
          <t>gpt-oss-20B</t>
        </is>
      </c>
      <c r="D31" s="6" t="inlineStr">
        <is>
          <t>10k</t>
        </is>
      </c>
      <c r="E31" s="6" t="inlineStr">
        <is>
          <t>r16/a32/all-linear</t>
        </is>
      </c>
      <c r="F31" s="6" t="n">
        <v>8</v>
      </c>
      <c r="G31" s="6" t="n">
        <v>1</v>
      </c>
      <c r="H31" s="6" t="b">
        <v>1</v>
      </c>
      <c r="I31" s="6" t="n">
        <v>7962624</v>
      </c>
      <c r="J31" s="6" t="n">
        <v>101</v>
      </c>
      <c r="K31" s="6" t="n">
        <v>3309568</v>
      </c>
      <c r="L31" s="6" t="n">
        <v>46.71934269514944</v>
      </c>
      <c r="N31" s="6" t="n">
        <v>48.97965375023293</v>
      </c>
      <c r="O31" s="6" t="n">
        <v>1180.655880083551</v>
      </c>
      <c r="P31" s="6" t="n">
        <v>1182.514159258955</v>
      </c>
      <c r="Q31" s="6" t="n">
        <v>52.477411328</v>
      </c>
      <c r="R31" s="6" t="n">
        <v>2.039148911833763</v>
      </c>
      <c r="S31" s="6" t="n">
        <v>0.8349421098828316</v>
      </c>
      <c r="T31" s="6" t="n"/>
      <c r="U31" s="6" t="inlineStr">
        <is>
          <t>Valid</t>
        </is>
      </c>
      <c r="V31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2" ht="15.75" customHeight="1" s="8">
      <c r="A32" s="6" t="inlineStr">
        <is>
          <t>H100</t>
        </is>
      </c>
      <c r="B32" s="6" t="inlineStr">
        <is>
          <t>NVIDIA H100 PCIe</t>
        </is>
      </c>
      <c r="C32" s="6" t="inlineStr">
        <is>
          <t>gpt-oss-20B</t>
        </is>
      </c>
      <c r="D32" s="6" t="inlineStr">
        <is>
          <t>1k</t>
        </is>
      </c>
      <c r="E32" s="6" t="inlineStr">
        <is>
          <t>r16/a32/all-linear</t>
        </is>
      </c>
      <c r="F32" s="6" t="n">
        <v>8</v>
      </c>
      <c r="G32" s="6" t="n">
        <v>1</v>
      </c>
      <c r="H32" s="6" t="b">
        <v>1</v>
      </c>
      <c r="I32" s="6" t="n">
        <v>7962624</v>
      </c>
      <c r="J32" s="6" t="n">
        <v>10</v>
      </c>
      <c r="K32" s="6" t="n">
        <v>327680</v>
      </c>
      <c r="L32" s="6" t="n">
        <v>3.89014178236636</v>
      </c>
      <c r="N32" s="6" t="n">
        <v>4.779435289482838</v>
      </c>
      <c r="O32" s="6" t="n">
        <v>1403.890562058441</v>
      </c>
      <c r="P32" s="6" t="n">
        <v>1371.683536494266</v>
      </c>
      <c r="Q32" s="6" t="n">
        <v>52.527480832</v>
      </c>
      <c r="R32" s="6" t="n">
        <v>2.037081018090248</v>
      </c>
      <c r="S32" s="6" t="n">
        <v>0.9968115165829659</v>
      </c>
      <c r="T32" s="6" t="n"/>
      <c r="U32" s="6" t="inlineStr">
        <is>
          <t>Valid</t>
        </is>
      </c>
      <c r="V32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3" ht="15.75" customHeight="1" s="8">
      <c r="A33" s="6" t="inlineStr">
        <is>
          <t>H100</t>
        </is>
      </c>
      <c r="B33" s="6" t="inlineStr">
        <is>
          <t>NVIDIA H100 PCIe</t>
        </is>
      </c>
      <c r="C33" s="6" t="inlineStr">
        <is>
          <t>gpt-oss-20B</t>
        </is>
      </c>
      <c r="D33" s="6" t="inlineStr">
        <is>
          <t>5k</t>
        </is>
      </c>
      <c r="E33" s="6" t="inlineStr">
        <is>
          <t>r16/a32/all-linear</t>
        </is>
      </c>
      <c r="F33" s="6" t="n">
        <v>8</v>
      </c>
      <c r="G33" s="6" t="n">
        <v>1</v>
      </c>
      <c r="H33" s="6" t="b">
        <v>1</v>
      </c>
      <c r="I33" s="6" t="n">
        <v>7962624</v>
      </c>
      <c r="J33" s="6" t="n">
        <v>51</v>
      </c>
      <c r="K33" s="6" t="n">
        <v>1671168</v>
      </c>
      <c r="L33" s="6" t="n">
        <v>20.40611250441628</v>
      </c>
      <c r="N33" s="6" t="n">
        <v>21.30192901374976</v>
      </c>
      <c r="O33" s="6" t="n">
        <v>1364.924357541012</v>
      </c>
      <c r="P33" s="6" t="n">
        <v>1360.460822095588</v>
      </c>
      <c r="Q33" s="6" t="n">
        <v>52.527480832</v>
      </c>
      <c r="R33" s="6" t="n">
        <v>2.037081018090248</v>
      </c>
      <c r="S33" s="6" t="n">
        <v>0.8134824633598328</v>
      </c>
      <c r="T33" s="6" t="n"/>
      <c r="U33" s="6" t="inlineStr">
        <is>
          <t>Valid</t>
        </is>
      </c>
      <c r="V33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4" ht="15.75" customHeight="1" s="8">
      <c r="A34" s="6" t="inlineStr">
        <is>
          <t>H100</t>
        </is>
      </c>
      <c r="B34" s="6" t="inlineStr">
        <is>
          <t>NVIDIA H100 PCIe</t>
        </is>
      </c>
      <c r="C34" s="6" t="inlineStr">
        <is>
          <t>gpt-oss-20B</t>
        </is>
      </c>
      <c r="D34" s="6" t="inlineStr">
        <is>
          <t>10k</t>
        </is>
      </c>
      <c r="E34" s="6" t="inlineStr">
        <is>
          <t>r16/a32/all-linear</t>
        </is>
      </c>
      <c r="F34" s="6" t="n">
        <v>8</v>
      </c>
      <c r="G34" s="6" t="n">
        <v>1</v>
      </c>
      <c r="H34" s="6" t="b">
        <v>1</v>
      </c>
      <c r="I34" s="6" t="n">
        <v>7962624</v>
      </c>
      <c r="J34" s="6" t="n">
        <v>101</v>
      </c>
      <c r="K34" s="6" t="n">
        <v>3309568</v>
      </c>
      <c r="L34" s="6" t="n">
        <v>40.43876197708305</v>
      </c>
      <c r="N34" s="6" t="n">
        <v>41.34274975511653</v>
      </c>
      <c r="O34" s="6" t="n">
        <v>1364.024613264025</v>
      </c>
      <c r="P34" s="6" t="n">
        <v>1360.332121882456</v>
      </c>
      <c r="Q34" s="6" t="n">
        <v>52.527480832</v>
      </c>
      <c r="R34" s="6" t="n">
        <v>2.037081018090248</v>
      </c>
      <c r="S34" s="6" t="n">
        <v>0.8373370245099068</v>
      </c>
      <c r="T34" s="6" t="n"/>
      <c r="U34" s="6" t="inlineStr">
        <is>
          <t>Valid</t>
        </is>
      </c>
      <c r="V34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5" ht="15.75" customHeight="1" s="8">
      <c r="A35" s="6" t="inlineStr">
        <is>
          <t>Together</t>
        </is>
      </c>
      <c r="B35" s="6" t="inlineStr">
        <is>
          <t>not disclosed</t>
        </is>
      </c>
      <c r="C35" s="6" t="inlineStr">
        <is>
          <t>gpt-oss-20B</t>
        </is>
      </c>
      <c r="D35" s="6" t="inlineStr">
        <is>
          <t>1k</t>
        </is>
      </c>
      <c r="E35" s="6" t="n"/>
      <c r="F35" s="6" t="n">
        <v>8</v>
      </c>
      <c r="G35" s="6" t="n"/>
      <c r="H35" s="6" t="inlineStr">
        <is>
          <t>not disclosed</t>
        </is>
      </c>
      <c r="I35" s="6" t="n"/>
      <c r="J35" s="6" t="n"/>
      <c r="K35" s="6" t="n"/>
      <c r="L35" s="6" t="n"/>
      <c r="N35" s="6" t="n"/>
      <c r="O35" s="6" t="n"/>
      <c r="P35" s="6" t="n"/>
      <c r="Q35" s="6" t="n"/>
      <c r="R35" s="6" t="n"/>
      <c r="S35" s="6" t="n"/>
      <c r="T35" s="6" t="n"/>
      <c r="U35" s="6" t="inlineStr">
        <is>
          <t>Pending</t>
        </is>
      </c>
      <c r="V35" s="6" t="inlineStr">
        <is>
          <t>Job not submitted: Together account balance/credit limit insufficient (error 402, requires &gt;= $4.00 combined balance+credit). Needs a credit top-up before this can be run.</t>
        </is>
      </c>
    </row>
    <row r="36" ht="15.75" customHeight="1" s="8">
      <c r="A36" s="6" t="inlineStr">
        <is>
          <t>Together</t>
        </is>
      </c>
      <c r="B36" s="6" t="inlineStr">
        <is>
          <t>not disclosed</t>
        </is>
      </c>
      <c r="C36" s="6" t="inlineStr">
        <is>
          <t>gpt-oss-20B</t>
        </is>
      </c>
      <c r="D36" s="6" t="inlineStr">
        <is>
          <t>5k</t>
        </is>
      </c>
      <c r="E36" s="6" t="inlineStr">
        <is>
          <t>r16/a32/k_proj,o_proj,q_proj,v_proj</t>
        </is>
      </c>
      <c r="F36" s="6" t="n">
        <v>8</v>
      </c>
      <c r="G36" s="6" t="n">
        <v>1</v>
      </c>
      <c r="H36" s="6" t="inlineStr">
        <is>
          <t>not disclosed</t>
        </is>
      </c>
      <c r="I36" s="6" t="n"/>
      <c r="J36" s="6" t="n">
        <v>52</v>
      </c>
      <c r="K36" s="6" t="n">
        <v>1672237</v>
      </c>
      <c r="L36" s="6" t="n">
        <v>4.933333333333334</v>
      </c>
      <c r="M36" t="n">
        <v>3.476666666666667</v>
      </c>
      <c r="N36" s="6" t="n">
        <v>10.82666666666667</v>
      </c>
      <c r="O36" s="6" t="n">
        <v>5649.449324324324</v>
      </c>
      <c r="P36" s="6" t="n"/>
      <c r="Q36" s="6" t="n"/>
      <c r="R36" s="6" t="n"/>
      <c r="S36" s="6" t="n"/>
      <c r="T36" s="6" t="n"/>
      <c r="U36" s="6" t="inlineStr">
        <is>
          <t>Valid</t>
        </is>
      </c>
      <c r="V36" s="6" t="inlineStr">
        <is>
          <t>Together silently used its default LoRA target modules (k_proj/o_proj/q_proj/v_proj) instead of the requested all-linear.</t>
        </is>
      </c>
    </row>
    <row r="37" ht="15.75" customHeight="1" s="8">
      <c r="A37" s="6" t="inlineStr">
        <is>
          <t>Together</t>
        </is>
      </c>
      <c r="B37" s="6" t="inlineStr">
        <is>
          <t>not disclosed</t>
        </is>
      </c>
      <c r="C37" s="6" t="inlineStr">
        <is>
          <t>gpt-oss-20B</t>
        </is>
      </c>
      <c r="D37" s="6" t="inlineStr">
        <is>
          <t>10k</t>
        </is>
      </c>
      <c r="E37" s="6" t="n"/>
      <c r="F37" s="6" t="n">
        <v>8</v>
      </c>
      <c r="G37" s="6" t="n"/>
      <c r="H37" s="6" t="inlineStr">
        <is>
          <t>not disclosed</t>
        </is>
      </c>
      <c r="I37" s="6" t="n"/>
      <c r="J37" s="6" t="n"/>
      <c r="K37" s="6" t="n"/>
      <c r="L37" s="6" t="n"/>
      <c r="N37" s="6" t="n"/>
      <c r="O37" s="6" t="n"/>
      <c r="P37" s="6" t="n"/>
      <c r="Q37" s="6" t="n"/>
      <c r="R37" s="6" t="n"/>
      <c r="S37" s="6" t="n"/>
      <c r="T37" s="6" t="n"/>
      <c r="U37" s="6" t="inlineStr">
        <is>
          <t>Pending</t>
        </is>
      </c>
      <c r="V37" s="6" t="inlineStr">
        <is>
          <t>Job not submitted: Together account balance/credit limit insufficient (error 402, requires &gt;= $4.00 combined balance+credit). Needs a credit top-up before this can be run.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hours_per_month</t>
        </is>
      </c>
      <c r="B2" t="n">
        <v>730</v>
      </c>
      <c r="C2" t="inlineStr">
        <is>
          <t>Global hourly conversion</t>
        </is>
      </c>
    </row>
    <row r="3">
      <c r="A3" t="inlineStr">
        <is>
          <t>a100_monthly_usd</t>
        </is>
      </c>
      <c r="B3" t="n">
        <v>10000</v>
      </c>
      <c r="C3" t="inlineStr">
        <is>
          <t>For 8x A100 basis</t>
        </is>
      </c>
    </row>
    <row r="4">
      <c r="A4" t="inlineStr">
        <is>
          <t>a100_gpus</t>
        </is>
      </c>
      <c r="B4" t="n">
        <v>8</v>
      </c>
      <c r="C4" t="inlineStr">
        <is>
          <t>A100 count</t>
        </is>
      </c>
    </row>
    <row r="5">
      <c r="A5" t="inlineStr">
        <is>
          <t>h100_monthly_usd</t>
        </is>
      </c>
      <c r="B5" t="n">
        <v>1400</v>
      </c>
      <c r="C5" t="inlineStr">
        <is>
          <t>Single H100 monthly</t>
        </is>
      </c>
    </row>
    <row r="6">
      <c r="A6" t="inlineStr">
        <is>
          <t>utilisation_U</t>
        </is>
      </c>
      <c r="B6" t="n">
        <v>1</v>
      </c>
      <c r="C6" t="inlineStr">
        <is>
          <t>Serving utilization divisor</t>
        </is>
      </c>
    </row>
    <row r="7">
      <c r="A7" t="inlineStr">
        <is>
          <t>latency_target_s</t>
        </is>
      </c>
      <c r="B7" t="n">
        <v>2</v>
      </c>
      <c r="C7" t="inlineStr">
        <is>
          <t>Iso-latency p99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</t>
        </is>
      </c>
      <c r="B1" t="inlineStr">
        <is>
          <t>job_id</t>
        </is>
      </c>
      <c r="C1" t="inlineStr">
        <is>
          <t>model</t>
        </is>
      </c>
      <c r="D1" t="inlineStr">
        <is>
          <t>dataset_size</t>
        </is>
      </c>
      <c r="E1" t="inlineStr">
        <is>
          <t>tokens</t>
        </is>
      </c>
      <c r="F1" t="inlineStr">
        <is>
          <t>billed_usd</t>
        </is>
      </c>
      <c r="G1" t="inlineStr">
        <is>
          <t>together_list_rate_usd_per_million</t>
        </is>
      </c>
      <c r="H1" t="inlineStr">
        <is>
          <t>together_min_charge_usd</t>
        </is>
      </c>
      <c r="I1" t="inlineStr">
        <is>
          <t>min_charge_binding</t>
        </is>
      </c>
      <c r="J1" t="inlineStr">
        <is>
          <t>together_effective_usd_per_million</t>
        </is>
      </c>
      <c r="K1" t="inlineStr">
        <is>
          <t>odyn_a100_steady_tokens_per_s</t>
        </is>
      </c>
      <c r="L1" t="inlineStr">
        <is>
          <t>odyn_h100_steady_tokens_per_s</t>
        </is>
      </c>
      <c r="M1" t="inlineStr">
        <is>
          <t>wall_min</t>
        </is>
      </c>
      <c r="N1" t="inlineStr">
        <is>
          <t>odyn_a100_steady_formula_usd_per_million</t>
        </is>
      </c>
      <c r="O1" t="inlineStr">
        <is>
          <t>odyn_h100_steady_formula_usd_per_million</t>
        </is>
      </c>
      <c r="P1" t="inlineStr">
        <is>
          <t>odyn_a100_effective_formula_usd_per_million</t>
        </is>
      </c>
      <c r="Q1" t="inlineStr">
        <is>
          <t>odyn_h100_effective_formula_usd_per_million</t>
        </is>
      </c>
      <c r="R1" t="inlineStr">
        <is>
          <t>together_effective_formula_usd_per_million</t>
        </is>
      </c>
    </row>
    <row r="2">
      <c r="A2" t="inlineStr">
        <is>
          <t>CLI_VERIFIED</t>
        </is>
      </c>
      <c r="B2" t="inlineStr">
        <is>
          <t>ft-f7900121-8871</t>
        </is>
      </c>
      <c r="C2" t="inlineStr">
        <is>
          <t>openai/gpt-oss-20b</t>
        </is>
      </c>
      <c r="D2" t="inlineStr">
        <is>
          <t>10k</t>
        </is>
      </c>
      <c r="E2" t="n">
        <v>3329128</v>
      </c>
      <c r="F2" t="n">
        <v>4</v>
      </c>
      <c r="G2" t="n">
        <v>0.4</v>
      </c>
      <c r="H2" t="n">
        <v>4</v>
      </c>
      <c r="I2" t="b">
        <v>1</v>
      </c>
      <c r="J2" t="n">
        <v>1.202</v>
      </c>
      <c r="K2" t="n">
        <v>1182.514159258955</v>
      </c>
      <c r="L2" t="n">
        <v>1360.332121882456</v>
      </c>
      <c r="M2" t="n">
        <v>14.559</v>
      </c>
      <c r="N2">
        <f>IF(K2&gt;0,ROUND((Config!$B$3/Config!$B$4/Config!$B$2)/(K2*3600)*1000000,3),"UNAVAILABLE")</f>
        <v/>
      </c>
      <c r="O2">
        <f>IF(L2&gt;0,ROUND((Config!$B$5/Config!$B$2)/(L2*3600)*1000000,3),"UNAVAILABLE")</f>
        <v/>
      </c>
      <c r="P2">
        <f>IF(AND(E2&gt;0,M2&gt;0),ROUND((Config!$B$3/Config!$B$4/Config!$B$2)*(M2/60)/(E2/1000000),3),"UNAVAILABLE")</f>
        <v/>
      </c>
      <c r="Q2">
        <f>IF(AND(E2&gt;0,M2&gt;0),ROUND((Config!$B$5/Config!$B$2)*(M2/60)/(E2/1000000),3),"UNAVAILABLE")</f>
        <v/>
      </c>
      <c r="R2">
        <f>IF(E2&gt;0,ROUND(F2/(E2/1000000),3),"UNAVAILABLE")</f>
        <v/>
      </c>
    </row>
    <row r="3">
      <c r="A3" t="inlineStr">
        <is>
          <t>CLI_VERIFIED</t>
        </is>
      </c>
      <c r="B3" t="inlineStr">
        <is>
          <t>ft-13dd5f5f-d688</t>
        </is>
      </c>
      <c r="C3" t="inlineStr">
        <is>
          <t>openai/gpt-oss-20b</t>
        </is>
      </c>
      <c r="D3" t="inlineStr">
        <is>
          <t>1k</t>
        </is>
      </c>
      <c r="E3" t="n">
        <v>335328</v>
      </c>
      <c r="F3" t="n">
        <v>4</v>
      </c>
      <c r="G3" t="n">
        <v>0.4</v>
      </c>
      <c r="H3" t="n">
        <v>4</v>
      </c>
      <c r="I3" t="b">
        <v>1</v>
      </c>
      <c r="J3" t="n">
        <v>11.929</v>
      </c>
      <c r="K3" t="n">
        <v>1181.815958686846</v>
      </c>
      <c r="L3" t="n">
        <v>1371.683536494266</v>
      </c>
      <c r="M3" t="n">
        <v>9.359</v>
      </c>
      <c r="N3">
        <f>IF(K3&gt;0,ROUND((Config!$B$3/Config!$B$4/Config!$B$2)/(K3*3600)*1000000,3),"UNAVAILABLE")</f>
        <v/>
      </c>
      <c r="O3">
        <f>IF(L3&gt;0,ROUND((Config!$B$5/Config!$B$2)/(L3*3600)*1000000,3),"UNAVAILABLE")</f>
        <v/>
      </c>
      <c r="P3">
        <f>IF(AND(E3&gt;0,M3&gt;0),ROUND((Config!$B$3/Config!$B$4/Config!$B$2)*(M3/60)/(E3/1000000),3),"UNAVAILABLE")</f>
        <v/>
      </c>
      <c r="Q3">
        <f>IF(AND(E3&gt;0,M3&gt;0),ROUND((Config!$B$5/Config!$B$2)*(M3/60)/(E3/1000000),3),"UNAVAILABLE")</f>
        <v/>
      </c>
      <c r="R3">
        <f>IF(E3&gt;0,ROUND(F3/(E3/1000000),3),"UNAVAILABLE")</f>
        <v/>
      </c>
    </row>
    <row r="4">
      <c r="A4" t="inlineStr">
        <is>
          <t>CLI_VERIFIED</t>
        </is>
      </c>
      <c r="B4" t="inlineStr">
        <is>
          <t>ft-15dec247-d184</t>
        </is>
      </c>
      <c r="C4" t="inlineStr">
        <is>
          <t>openai/gpt-oss-20b</t>
        </is>
      </c>
      <c r="D4" t="inlineStr">
        <is>
          <t>10k</t>
        </is>
      </c>
      <c r="E4" t="n">
        <v>3329128</v>
      </c>
      <c r="F4" t="n">
        <v>4</v>
      </c>
      <c r="G4" t="n">
        <v>0.4</v>
      </c>
      <c r="H4" t="n">
        <v>4</v>
      </c>
      <c r="I4" t="b">
        <v>1</v>
      </c>
      <c r="J4" t="n">
        <v>1.202</v>
      </c>
      <c r="K4" t="n">
        <v>1182.514159258955</v>
      </c>
      <c r="L4" t="n">
        <v>1360.332121882456</v>
      </c>
      <c r="M4" t="n">
        <v>14.213</v>
      </c>
      <c r="N4">
        <f>IF(K4&gt;0,ROUND((Config!$B$3/Config!$B$4/Config!$B$2)/(K4*3600)*1000000,3),"UNAVAILABLE")</f>
        <v/>
      </c>
      <c r="O4">
        <f>IF(L4&gt;0,ROUND((Config!$B$5/Config!$B$2)/(L4*3600)*1000000,3),"UNAVAILABLE")</f>
        <v/>
      </c>
      <c r="P4">
        <f>IF(AND(E4&gt;0,M4&gt;0),ROUND((Config!$B$3/Config!$B$4/Config!$B$2)*(M4/60)/(E4/1000000),3),"UNAVAILABLE")</f>
        <v/>
      </c>
      <c r="Q4">
        <f>IF(AND(E4&gt;0,M4&gt;0),ROUND((Config!$B$5/Config!$B$2)*(M4/60)/(E4/1000000),3),"UNAVAILABLE")</f>
        <v/>
      </c>
      <c r="R4">
        <f>IF(E4&gt;0,ROUND(F4/(E4/1000000),3),"UNAVAILABLE")</f>
        <v/>
      </c>
    </row>
    <row r="5">
      <c r="A5" t="inlineStr">
        <is>
          <t>CLI_VERIFIED</t>
        </is>
      </c>
      <c r="B5" t="inlineStr">
        <is>
          <t>ft-800f78cc-228c</t>
        </is>
      </c>
      <c r="C5" t="inlineStr">
        <is>
          <t>openai/gpt-oss-20b</t>
        </is>
      </c>
      <c r="D5" t="inlineStr">
        <is>
          <t>1k</t>
        </is>
      </c>
      <c r="E5" t="n">
        <v>335328</v>
      </c>
      <c r="F5" t="n">
        <v>4</v>
      </c>
      <c r="G5" t="n">
        <v>0.4</v>
      </c>
      <c r="H5" t="n">
        <v>4</v>
      </c>
      <c r="I5" t="b">
        <v>1</v>
      </c>
      <c r="J5" t="n">
        <v>11.929</v>
      </c>
      <c r="K5" t="n">
        <v>1181.815958686846</v>
      </c>
      <c r="L5" t="n">
        <v>1371.683536494266</v>
      </c>
      <c r="M5" t="n">
        <v>8.68</v>
      </c>
      <c r="N5">
        <f>IF(K5&gt;0,ROUND((Config!$B$3/Config!$B$4/Config!$B$2)/(K5*3600)*1000000,3),"UNAVAILABLE")</f>
        <v/>
      </c>
      <c r="O5">
        <f>IF(L5&gt;0,ROUND((Config!$B$5/Config!$B$2)/(L5*3600)*1000000,3),"UNAVAILABLE")</f>
        <v/>
      </c>
      <c r="P5">
        <f>IF(AND(E5&gt;0,M5&gt;0),ROUND((Config!$B$3/Config!$B$4/Config!$B$2)*(M5/60)/(E5/1000000),3),"UNAVAILABLE")</f>
        <v/>
      </c>
      <c r="Q5">
        <f>IF(AND(E5&gt;0,M5&gt;0),ROUND((Config!$B$5/Config!$B$2)*(M5/60)/(E5/1000000),3),"UNAVAILABLE")</f>
        <v/>
      </c>
      <c r="R5">
        <f>IF(E5&gt;0,ROUND(F5/(E5/1000000),3),"UNAVAILABLE")</f>
        <v/>
      </c>
    </row>
    <row r="6">
      <c r="A6" t="inlineStr">
        <is>
          <t>CLI_VERIFIED</t>
        </is>
      </c>
      <c r="B6" t="inlineStr">
        <is>
          <t>ft-db904a53-822c</t>
        </is>
      </c>
      <c r="C6" t="inlineStr">
        <is>
          <t>openai/gpt-oss-20b</t>
        </is>
      </c>
      <c r="D6" t="inlineStr">
        <is>
          <t>10k</t>
        </is>
      </c>
      <c r="E6" t="n">
        <v>3329128</v>
      </c>
      <c r="F6" t="n">
        <v>4</v>
      </c>
      <c r="G6" t="n">
        <v>0.4</v>
      </c>
      <c r="H6" t="n">
        <v>4</v>
      </c>
      <c r="I6" t="b">
        <v>1</v>
      </c>
      <c r="J6" t="n">
        <v>1.202</v>
      </c>
      <c r="K6" t="n">
        <v>1182.514159258955</v>
      </c>
      <c r="L6" t="n">
        <v>1360.332121882456</v>
      </c>
      <c r="M6" t="n">
        <v>14.632</v>
      </c>
      <c r="N6">
        <f>IF(K6&gt;0,ROUND((Config!$B$3/Config!$B$4/Config!$B$2)/(K6*3600)*1000000,3),"UNAVAILABLE")</f>
        <v/>
      </c>
      <c r="O6">
        <f>IF(L6&gt;0,ROUND((Config!$B$5/Config!$B$2)/(L6*3600)*1000000,3),"UNAVAILABLE")</f>
        <v/>
      </c>
      <c r="P6">
        <f>IF(AND(E6&gt;0,M6&gt;0),ROUND((Config!$B$3/Config!$B$4/Config!$B$2)*(M6/60)/(E6/1000000),3),"UNAVAILABLE")</f>
        <v/>
      </c>
      <c r="Q6">
        <f>IF(AND(E6&gt;0,M6&gt;0),ROUND((Config!$B$5/Config!$B$2)*(M6/60)/(E6/1000000),3),"UNAVAILABLE")</f>
        <v/>
      </c>
      <c r="R6">
        <f>IF(E6&gt;0,ROUND(F6/(E6/1000000),3),"UNAVAILABLE")</f>
        <v/>
      </c>
    </row>
    <row r="7">
      <c r="A7" t="inlineStr">
        <is>
          <t>CLI_VERIFIED</t>
        </is>
      </c>
      <c r="B7" t="inlineStr">
        <is>
          <t>ft-d3580354-5bff</t>
        </is>
      </c>
      <c r="C7" t="inlineStr">
        <is>
          <t>openai/gpt-oss-20b</t>
        </is>
      </c>
      <c r="D7" t="inlineStr">
        <is>
          <t>1k</t>
        </is>
      </c>
      <c r="E7" t="n">
        <v>335328</v>
      </c>
      <c r="F7" t="n">
        <v>4</v>
      </c>
      <c r="G7" t="n">
        <v>0.4</v>
      </c>
      <c r="H7" t="n">
        <v>4</v>
      </c>
      <c r="I7" t="b">
        <v>1</v>
      </c>
      <c r="J7" t="n">
        <v>11.929</v>
      </c>
      <c r="K7" t="n">
        <v>1181.815958686846</v>
      </c>
      <c r="L7" t="n">
        <v>1371.683536494266</v>
      </c>
      <c r="M7" t="n">
        <v>8.388999999999999</v>
      </c>
      <c r="N7">
        <f>IF(K7&gt;0,ROUND((Config!$B$3/Config!$B$4/Config!$B$2)/(K7*3600)*1000000,3),"UNAVAILABLE")</f>
        <v/>
      </c>
      <c r="O7">
        <f>IF(L7&gt;0,ROUND((Config!$B$5/Config!$B$2)/(L7*3600)*1000000,3),"UNAVAILABLE")</f>
        <v/>
      </c>
      <c r="P7">
        <f>IF(AND(E7&gt;0,M7&gt;0),ROUND((Config!$B$3/Config!$B$4/Config!$B$2)*(M7/60)/(E7/1000000),3),"UNAVAILABLE")</f>
        <v/>
      </c>
      <c r="Q7">
        <f>IF(AND(E7&gt;0,M7&gt;0),ROUND((Config!$B$5/Config!$B$2)*(M7/60)/(E7/1000000),3),"UNAVAILABLE")</f>
        <v/>
      </c>
      <c r="R7">
        <f>IF(E7&gt;0,ROUND(F7/(E7/1000000),3),"UNAVAILABLE")</f>
        <v/>
      </c>
    </row>
    <row r="8">
      <c r="A8" t="inlineStr">
        <is>
          <t>CLI_VERIFIED</t>
        </is>
      </c>
      <c r="B8" t="inlineStr">
        <is>
          <t>ft-2fe19cba-b1d3</t>
        </is>
      </c>
      <c r="C8" t="inlineStr">
        <is>
          <t>openai/gpt-oss-20b</t>
        </is>
      </c>
      <c r="D8" t="inlineStr">
        <is>
          <t>10k</t>
        </is>
      </c>
      <c r="E8" t="n">
        <v>3329128</v>
      </c>
      <c r="F8" t="n">
        <v>4</v>
      </c>
      <c r="G8" t="n">
        <v>0.4</v>
      </c>
      <c r="H8" t="n">
        <v>4</v>
      </c>
      <c r="I8" t="b">
        <v>1</v>
      </c>
      <c r="J8" t="n">
        <v>1.202</v>
      </c>
      <c r="K8" t="n">
        <v>1182.514159258955</v>
      </c>
      <c r="L8" t="n">
        <v>1360.332121882456</v>
      </c>
      <c r="M8" t="n">
        <v>14.485</v>
      </c>
      <c r="N8">
        <f>IF(K8&gt;0,ROUND((Config!$B$3/Config!$B$4/Config!$B$2)/(K8*3600)*1000000,3),"UNAVAILABLE")</f>
        <v/>
      </c>
      <c r="O8">
        <f>IF(L8&gt;0,ROUND((Config!$B$5/Config!$B$2)/(L8*3600)*1000000,3),"UNAVAILABLE")</f>
        <v/>
      </c>
      <c r="P8">
        <f>IF(AND(E8&gt;0,M8&gt;0),ROUND((Config!$B$3/Config!$B$4/Config!$B$2)*(M8/60)/(E8/1000000),3),"UNAVAILABLE")</f>
        <v/>
      </c>
      <c r="Q8">
        <f>IF(AND(E8&gt;0,M8&gt;0),ROUND((Config!$B$5/Config!$B$2)*(M8/60)/(E8/1000000),3),"UNAVAILABLE")</f>
        <v/>
      </c>
      <c r="R8">
        <f>IF(E8&gt;0,ROUND(F8/(E8/1000000),3),"UNAVAILABLE")</f>
        <v/>
      </c>
    </row>
    <row r="9">
      <c r="A9" t="inlineStr">
        <is>
          <t>CLI_VERIFIED</t>
        </is>
      </c>
      <c r="B9" t="inlineStr">
        <is>
          <t>ft-1fce124e-17b1</t>
        </is>
      </c>
      <c r="C9" t="inlineStr">
        <is>
          <t>openai/gpt-oss-20b</t>
        </is>
      </c>
      <c r="D9" t="inlineStr">
        <is>
          <t>1k</t>
        </is>
      </c>
      <c r="E9" t="n">
        <v>335328</v>
      </c>
      <c r="F9" t="n">
        <v>4</v>
      </c>
      <c r="G9" t="n">
        <v>0.4</v>
      </c>
      <c r="H9" t="n">
        <v>4</v>
      </c>
      <c r="I9" t="b">
        <v>1</v>
      </c>
      <c r="J9" t="n">
        <v>11.929</v>
      </c>
      <c r="K9" t="n">
        <v>1181.815958686846</v>
      </c>
      <c r="L9" t="n">
        <v>1371.683536494266</v>
      </c>
      <c r="M9" t="n">
        <v>9.06</v>
      </c>
      <c r="N9">
        <f>IF(K9&gt;0,ROUND((Config!$B$3/Config!$B$4/Config!$B$2)/(K9*3600)*1000000,3),"UNAVAILABLE")</f>
        <v/>
      </c>
      <c r="O9">
        <f>IF(L9&gt;0,ROUND((Config!$B$5/Config!$B$2)/(L9*3600)*1000000,3),"UNAVAILABLE")</f>
        <v/>
      </c>
      <c r="P9">
        <f>IF(AND(E9&gt;0,M9&gt;0),ROUND((Config!$B$3/Config!$B$4/Config!$B$2)*(M9/60)/(E9/1000000),3),"UNAVAILABLE")</f>
        <v/>
      </c>
      <c r="Q9">
        <f>IF(AND(E9&gt;0,M9&gt;0),ROUND((Config!$B$5/Config!$B$2)*(M9/60)/(E9/1000000),3),"UNAVAILABLE")</f>
        <v/>
      </c>
      <c r="R9">
        <f>IF(E9&gt;0,ROUND(F9/(E9/1000000),3),"UNAVAILABLE")</f>
        <v/>
      </c>
    </row>
    <row r="10">
      <c r="A10" t="inlineStr">
        <is>
          <t>CLI_VERIFIED</t>
        </is>
      </c>
      <c r="B10" t="inlineStr">
        <is>
          <t>ft-c605677b-1ee3</t>
        </is>
      </c>
      <c r="C10" t="inlineStr">
        <is>
          <t>openai/gpt-oss-20b</t>
        </is>
      </c>
      <c r="D10" t="inlineStr">
        <is>
          <t>5k</t>
        </is>
      </c>
      <c r="E10" t="n">
        <v>1672237</v>
      </c>
      <c r="F10" t="n">
        <v>4</v>
      </c>
      <c r="G10" t="n">
        <v>0.4</v>
      </c>
      <c r="H10" t="n">
        <v>4</v>
      </c>
      <c r="I10" t="b">
        <v>1</v>
      </c>
      <c r="J10" t="n">
        <v>2.392</v>
      </c>
      <c r="K10" t="n">
        <v>1182.910119796746</v>
      </c>
      <c r="L10" t="n">
        <v>1360.460822095588</v>
      </c>
      <c r="M10" t="n">
        <v>10.834</v>
      </c>
      <c r="N10">
        <f>IF(K10&gt;0,ROUND((Config!$B$3/Config!$B$4/Config!$B$2)/(K10*3600)*1000000,3),"UNAVAILABLE")</f>
        <v/>
      </c>
      <c r="O10">
        <f>IF(L10&gt;0,ROUND((Config!$B$5/Config!$B$2)/(L10*3600)*1000000,3),"UNAVAILABLE")</f>
        <v/>
      </c>
      <c r="P10">
        <f>IF(AND(E10&gt;0,M10&gt;0),ROUND((Config!$B$3/Config!$B$4/Config!$B$2)*(M10/60)/(E10/1000000),3),"UNAVAILABLE")</f>
        <v/>
      </c>
      <c r="Q10">
        <f>IF(AND(E10&gt;0,M10&gt;0),ROUND((Config!$B$5/Config!$B$2)*(M10/60)/(E10/1000000),3),"UNAVAILABLE")</f>
        <v/>
      </c>
      <c r="R10">
        <f>IF(E10&gt;0,ROUND(F10/(E10/1000000),3),"UNAVAILABLE")</f>
        <v/>
      </c>
    </row>
    <row r="11">
      <c r="A11" t="inlineStr">
        <is>
          <t>CLI_VERIFIED</t>
        </is>
      </c>
      <c r="B11" t="inlineStr">
        <is>
          <t>ft-79f6d24e-ff70</t>
        </is>
      </c>
      <c r="C11" t="inlineStr">
        <is>
          <t>openai/gpt-oss-20b</t>
        </is>
      </c>
      <c r="D11" t="inlineStr">
        <is>
          <t>10k</t>
        </is>
      </c>
      <c r="E11" t="n">
        <v>3329128</v>
      </c>
      <c r="F11" t="n">
        <v>4</v>
      </c>
      <c r="G11" t="n">
        <v>0.4</v>
      </c>
      <c r="H11" t="n">
        <v>4</v>
      </c>
      <c r="I11" t="b">
        <v>1</v>
      </c>
      <c r="J11" t="n">
        <v>1.202</v>
      </c>
      <c r="K11" t="n">
        <v>1182.514159258955</v>
      </c>
      <c r="L11" t="n">
        <v>1360.332121882456</v>
      </c>
      <c r="M11" t="n">
        <v>14.382</v>
      </c>
      <c r="N11">
        <f>IF(K11&gt;0,ROUND((Config!$B$3/Config!$B$4/Config!$B$2)/(K11*3600)*1000000,3),"UNAVAILABLE")</f>
        <v/>
      </c>
      <c r="O11">
        <f>IF(L11&gt;0,ROUND((Config!$B$5/Config!$B$2)/(L11*3600)*1000000,3),"UNAVAILABLE")</f>
        <v/>
      </c>
      <c r="P11">
        <f>IF(AND(E11&gt;0,M11&gt;0),ROUND((Config!$B$3/Config!$B$4/Config!$B$2)*(M11/60)/(E11/1000000),3),"UNAVAILABLE")</f>
        <v/>
      </c>
      <c r="Q11">
        <f>IF(AND(E11&gt;0,M11&gt;0),ROUND((Config!$B$5/Config!$B$2)*(M11/60)/(E11/1000000),3),"UNAVAILABLE")</f>
        <v/>
      </c>
      <c r="R11">
        <f>IF(E11&gt;0,ROUND(F11/(E11/1000000),3),"UNAVAILABLE")</f>
        <v/>
      </c>
    </row>
    <row r="12">
      <c r="A12" t="inlineStr">
        <is>
          <t>CLI_VERIFIED</t>
        </is>
      </c>
      <c r="B12" t="inlineStr">
        <is>
          <t>ft-c8bfe61e-9d76</t>
        </is>
      </c>
      <c r="C12" t="inlineStr">
        <is>
          <t>openai/gpt-oss-20b</t>
        </is>
      </c>
      <c r="D12" t="inlineStr">
        <is>
          <t>1k</t>
        </is>
      </c>
      <c r="E12" t="n">
        <v>335328</v>
      </c>
      <c r="F12" t="n">
        <v>4</v>
      </c>
      <c r="G12" t="n">
        <v>0.4</v>
      </c>
      <c r="H12" t="n">
        <v>4</v>
      </c>
      <c r="I12" t="b">
        <v>1</v>
      </c>
      <c r="J12" t="n">
        <v>11.929</v>
      </c>
      <c r="K12" t="n">
        <v>1181.815958686846</v>
      </c>
      <c r="L12" t="n">
        <v>1371.683536494266</v>
      </c>
      <c r="M12" t="n">
        <v>8.67</v>
      </c>
      <c r="N12">
        <f>IF(K12&gt;0,ROUND((Config!$B$3/Config!$B$4/Config!$B$2)/(K12*3600)*1000000,3),"UNAVAILABLE")</f>
        <v/>
      </c>
      <c r="O12">
        <f>IF(L12&gt;0,ROUND((Config!$B$5/Config!$B$2)/(L12*3600)*1000000,3),"UNAVAILABLE")</f>
        <v/>
      </c>
      <c r="P12">
        <f>IF(AND(E12&gt;0,M12&gt;0),ROUND((Config!$B$3/Config!$B$4/Config!$B$2)*(M12/60)/(E12/1000000),3),"UNAVAILABLE")</f>
        <v/>
      </c>
      <c r="Q12">
        <f>IF(AND(E12&gt;0,M12&gt;0),ROUND((Config!$B$5/Config!$B$2)*(M12/60)/(E12/1000000),3),"UNAVAILABLE")</f>
        <v/>
      </c>
      <c r="R12">
        <f>IF(E12&gt;0,ROUND(F12/(E12/1000000),3),"UNAVAILABLE")</f>
        <v/>
      </c>
    </row>
    <row r="13">
      <c r="A13" t="inlineStr">
        <is>
          <t>CLI_VERIFIED</t>
        </is>
      </c>
      <c r="B13" t="inlineStr">
        <is>
          <t>ft-203f3d09-1cf6</t>
        </is>
      </c>
      <c r="C13" t="inlineStr">
        <is>
          <t>openai/gpt-oss-20b</t>
        </is>
      </c>
      <c r="D13" t="inlineStr">
        <is>
          <t>5k</t>
        </is>
      </c>
      <c r="E13" t="n">
        <v>1672237</v>
      </c>
      <c r="F13" t="n">
        <v>4</v>
      </c>
      <c r="G13" t="n">
        <v>0.4</v>
      </c>
      <c r="H13" t="n">
        <v>4</v>
      </c>
      <c r="I13" t="b">
        <v>1</v>
      </c>
      <c r="J13" t="n">
        <v>2.392</v>
      </c>
      <c r="K13" t="n">
        <v>1182.910119796746</v>
      </c>
      <c r="L13" t="n">
        <v>1360.460822095588</v>
      </c>
      <c r="M13" t="n">
        <v>11.805</v>
      </c>
      <c r="N13">
        <f>IF(K13&gt;0,ROUND((Config!$B$3/Config!$B$4/Config!$B$2)/(K13*3600)*1000000,3),"UNAVAILABLE")</f>
        <v/>
      </c>
      <c r="O13">
        <f>IF(L13&gt;0,ROUND((Config!$B$5/Config!$B$2)/(L13*3600)*1000000,3),"UNAVAILABLE")</f>
        <v/>
      </c>
      <c r="P13">
        <f>IF(AND(E13&gt;0,M13&gt;0),ROUND((Config!$B$3/Config!$B$4/Config!$B$2)*(M13/60)/(E13/1000000),3),"UNAVAILABLE")</f>
        <v/>
      </c>
      <c r="Q13">
        <f>IF(AND(E13&gt;0,M13&gt;0),ROUND((Config!$B$5/Config!$B$2)*(M13/60)/(E13/1000000),3),"UNAVAILABLE")</f>
        <v/>
      </c>
      <c r="R13">
        <f>IF(E13&gt;0,ROUND(F13/(E13/1000000),3),"UNAVAILABLE")</f>
        <v/>
      </c>
    </row>
    <row r="14">
      <c r="A14" t="inlineStr">
        <is>
          <t>CLI_VERIFIED</t>
        </is>
      </c>
      <c r="B14" t="inlineStr">
        <is>
          <t>ft-48fa226c-5142</t>
        </is>
      </c>
      <c r="C14" t="inlineStr">
        <is>
          <t>Qwen/Qwen3.5-27B</t>
        </is>
      </c>
      <c r="D14" t="inlineStr">
        <is>
          <t>5k</t>
        </is>
      </c>
      <c r="E14" t="n">
        <v>1435064</v>
      </c>
      <c r="F14" t="n">
        <v>4</v>
      </c>
      <c r="G14" t="n">
        <v>1.05</v>
      </c>
      <c r="H14" t="n">
        <v>4</v>
      </c>
      <c r="I14" t="b">
        <v>1</v>
      </c>
      <c r="J14" t="n">
        <v>2.787</v>
      </c>
      <c r="K14" t="n">
        <v>809.8200000000001</v>
      </c>
      <c r="L14" t="n">
        <v>873.3099999999999</v>
      </c>
      <c r="M14" t="n">
        <v>20.599</v>
      </c>
      <c r="N14">
        <f>IF(K14&gt;0,ROUND((Config!$B$3/Config!$B$4/Config!$B$2)/(K14*3600)*1000000,3),"UNAVAILABLE")</f>
        <v/>
      </c>
      <c r="O14">
        <f>IF(L14&gt;0,ROUND((Config!$B$5/Config!$B$2)/(L14*3600)*1000000,3),"UNAVAILABLE")</f>
        <v/>
      </c>
      <c r="P14">
        <f>IF(AND(E14&gt;0,M14&gt;0),ROUND((Config!$B$3/Config!$B$4/Config!$B$2)*(M14/60)/(E14/1000000),3),"UNAVAILABLE")</f>
        <v/>
      </c>
      <c r="Q14">
        <f>IF(AND(E14&gt;0,M14&gt;0),ROUND((Config!$B$5/Config!$B$2)*(M14/60)/(E14/1000000),3),"UNAVAILABLE")</f>
        <v/>
      </c>
      <c r="R14">
        <f>IF(E14&gt;0,ROUND(F14/(E14/1000000),3),"UNAVAILABLE")</f>
        <v/>
      </c>
    </row>
    <row r="15">
      <c r="A15" t="inlineStr">
        <is>
          <t>CLI_VERIFIED</t>
        </is>
      </c>
      <c r="B15" t="inlineStr">
        <is>
          <t>ft-b61858e9-228c</t>
        </is>
      </c>
      <c r="C15" t="inlineStr">
        <is>
          <t>Qwen/Qwen3.5-9B</t>
        </is>
      </c>
      <c r="D15" t="inlineStr">
        <is>
          <t>5k</t>
        </is>
      </c>
      <c r="E15" t="n">
        <v>1435064</v>
      </c>
      <c r="F15" t="n">
        <v>4</v>
      </c>
      <c r="G15" t="n">
        <v>0.34</v>
      </c>
      <c r="H15" t="n">
        <v>4</v>
      </c>
      <c r="I15" t="b">
        <v>1</v>
      </c>
      <c r="J15" t="n">
        <v>2.787</v>
      </c>
      <c r="K15" t="n">
        <v>3210.72</v>
      </c>
      <c r="L15" t="n">
        <v>3603.26</v>
      </c>
      <c r="M15" t="n">
        <v>12.566</v>
      </c>
      <c r="N15">
        <f>IF(K15&gt;0,ROUND((Config!$B$3/Config!$B$4/Config!$B$2)/(K15*3600)*1000000,3),"UNAVAILABLE")</f>
        <v/>
      </c>
      <c r="O15">
        <f>IF(L15&gt;0,ROUND((Config!$B$5/Config!$B$2)/(L15*3600)*1000000,3),"UNAVAILABLE")</f>
        <v/>
      </c>
      <c r="P15">
        <f>IF(AND(E15&gt;0,M15&gt;0),ROUND((Config!$B$3/Config!$B$4/Config!$B$2)*(M15/60)/(E15/1000000),3),"UNAVAILABLE")</f>
        <v/>
      </c>
      <c r="Q15">
        <f>IF(AND(E15&gt;0,M15&gt;0),ROUND((Config!$B$5/Config!$B$2)*(M15/60)/(E15/1000000),3),"UNAVAILABLE")</f>
        <v/>
      </c>
      <c r="R15">
        <f>IF(E15&gt;0,ROUND(F15/(E15/1000000),3),"UNAVAILABLE")</f>
        <v/>
      </c>
    </row>
    <row r="16">
      <c r="A16" t="inlineStr">
        <is>
          <t>CLI_VERIFIED</t>
        </is>
      </c>
      <c r="B16" t="inlineStr">
        <is>
          <t>ft-8d9597ed-cfa0</t>
        </is>
      </c>
      <c r="C16" t="inlineStr">
        <is>
          <t>Qwen/Qwen3.5-4B</t>
        </is>
      </c>
      <c r="D16" t="inlineStr">
        <is>
          <t>5k</t>
        </is>
      </c>
      <c r="E16" t="n">
        <v>1435064</v>
      </c>
      <c r="F16" t="n">
        <v>4</v>
      </c>
      <c r="G16" t="n">
        <v>0.34</v>
      </c>
      <c r="H16" t="n">
        <v>4</v>
      </c>
      <c r="I16" t="b">
        <v>1</v>
      </c>
      <c r="J16" t="n">
        <v>2.787</v>
      </c>
      <c r="K16" t="n">
        <v>4456.26</v>
      </c>
      <c r="L16" t="n">
        <v>5127.09</v>
      </c>
      <c r="M16" t="n">
        <v>10.254</v>
      </c>
      <c r="N16">
        <f>IF(K16&gt;0,ROUND((Config!$B$3/Config!$B$4/Config!$B$2)/(K16*3600)*1000000,3),"UNAVAILABLE")</f>
        <v/>
      </c>
      <c r="O16">
        <f>IF(L16&gt;0,ROUND((Config!$B$5/Config!$B$2)/(L16*3600)*1000000,3),"UNAVAILABLE")</f>
        <v/>
      </c>
      <c r="P16">
        <f>IF(AND(E16&gt;0,M16&gt;0),ROUND((Config!$B$3/Config!$B$4/Config!$B$2)*(M16/60)/(E16/1000000),3),"UNAVAILABLE")</f>
        <v/>
      </c>
      <c r="Q16">
        <f>IF(AND(E16&gt;0,M16&gt;0),ROUND((Config!$B$5/Config!$B$2)*(M16/60)/(E16/1000000),3),"UNAVAILABLE")</f>
        <v/>
      </c>
      <c r="R16">
        <f>IF(E16&gt;0,ROUND(F16/(E16/1000000),3),"UNAVAILABLE")</f>
        <v/>
      </c>
    </row>
    <row r="17">
      <c r="A17" t="inlineStr">
        <is>
          <t>CLI_VERIFIED</t>
        </is>
      </c>
      <c r="B17" t="inlineStr">
        <is>
          <t>ft-bcf4ff51-89fc</t>
        </is>
      </c>
      <c r="C17" t="inlineStr">
        <is>
          <t>Qwen/Qwen3.5-9B</t>
        </is>
      </c>
      <c r="D17" t="inlineStr">
        <is>
          <t>5k</t>
        </is>
      </c>
      <c r="E17" t="n">
        <v>1435064</v>
      </c>
      <c r="F17" t="n">
        <v>4</v>
      </c>
      <c r="G17" t="n">
        <v>0.34</v>
      </c>
      <c r="H17" t="n">
        <v>4</v>
      </c>
      <c r="I17" t="b">
        <v>1</v>
      </c>
      <c r="J17" t="n">
        <v>2.787</v>
      </c>
      <c r="K17" t="n">
        <v>3210.72</v>
      </c>
      <c r="L17" t="n">
        <v>3603.26</v>
      </c>
      <c r="M17" t="n">
        <v>47.444</v>
      </c>
      <c r="N17">
        <f>IF(K17&gt;0,ROUND((Config!$B$3/Config!$B$4/Config!$B$2)/(K17*3600)*1000000,3),"UNAVAILABLE")</f>
        <v/>
      </c>
      <c r="O17">
        <f>IF(L17&gt;0,ROUND((Config!$B$5/Config!$B$2)/(L17*3600)*1000000,3),"UNAVAILABLE")</f>
        <v/>
      </c>
      <c r="P17">
        <f>IF(AND(E17&gt;0,M17&gt;0),ROUND((Config!$B$3/Config!$B$4/Config!$B$2)*(M17/60)/(E17/1000000),3),"UNAVAILABLE")</f>
        <v/>
      </c>
      <c r="Q17">
        <f>IF(AND(E17&gt;0,M17&gt;0),ROUND((Config!$B$5/Config!$B$2)*(M17/60)/(E17/1000000),3),"UNAVAILABLE")</f>
        <v/>
      </c>
      <c r="R17">
        <f>IF(E17&gt;0,ROUND(F17/(E17/1000000),3),"UNAVAILABLE")</f>
        <v/>
      </c>
    </row>
    <row r="18">
      <c r="A18" t="inlineStr">
        <is>
          <t>WORKBOOK_UNVERIFIED</t>
        </is>
      </c>
      <c r="B18" t="inlineStr">
        <is>
          <t>UNAVAILABLE</t>
        </is>
      </c>
      <c r="C18" t="inlineStr">
        <is>
          <t>Qwen3.5-4B</t>
        </is>
      </c>
      <c r="D18" t="inlineStr">
        <is>
          <t>1k</t>
        </is>
      </c>
      <c r="E18" t="n">
        <v>287860</v>
      </c>
      <c r="G18" t="n">
        <v>0.34</v>
      </c>
      <c r="H18" t="n">
        <v>4</v>
      </c>
      <c r="I18" t="b">
        <v>1</v>
      </c>
      <c r="K18" t="n">
        <v>4458.27</v>
      </c>
      <c r="L18" t="n">
        <v>5804.29</v>
      </c>
      <c r="M18" t="n">
        <v>16.051</v>
      </c>
      <c r="N18">
        <f>IF(K18&gt;0,ROUND((Config!$B$3/Config!$B$4/Config!$B$2)/(K18*3600)*1000000,3),"UNAVAILABLE")</f>
        <v/>
      </c>
      <c r="O18">
        <f>IF(L18&gt;0,ROUND((Config!$B$5/Config!$B$2)/(L18*3600)*1000000,3),"UNAVAILABLE")</f>
        <v/>
      </c>
      <c r="P18">
        <f>IF(AND(E18&gt;0,M18&gt;0),ROUND((Config!$B$3/Config!$B$4/Config!$B$2)*(M18/60)/(E18/1000000),3),"UNAVAILABLE")</f>
        <v/>
      </c>
      <c r="Q18">
        <f>IF(AND(E18&gt;0,M18&gt;0),ROUND((Config!$B$5/Config!$B$2)*(M18/60)/(E18/1000000),3),"UNAVAILABLE")</f>
        <v/>
      </c>
      <c r="R18">
        <f>IF(E18&gt;0,ROUND(F18/(E18/1000000),3),"UNAVAILABLE")</f>
        <v/>
      </c>
    </row>
    <row r="19">
      <c r="A19" t="inlineStr">
        <is>
          <t>WORKBOOK_UNVERIFIED</t>
        </is>
      </c>
      <c r="B19" t="inlineStr">
        <is>
          <t>UNAVAILABLE</t>
        </is>
      </c>
      <c r="C19" t="inlineStr">
        <is>
          <t>Qwen3.5-4B</t>
        </is>
      </c>
      <c r="D19" t="inlineStr">
        <is>
          <t>10k</t>
        </is>
      </c>
      <c r="E19" t="n">
        <v>2854762</v>
      </c>
      <c r="G19" t="n">
        <v>0.34</v>
      </c>
      <c r="H19" t="n">
        <v>4</v>
      </c>
      <c r="I19" t="b">
        <v>1</v>
      </c>
      <c r="K19" t="n">
        <v>4455.63</v>
      </c>
      <c r="L19" t="n">
        <v>5121.91</v>
      </c>
      <c r="M19" t="n">
        <v>19.259</v>
      </c>
      <c r="N19">
        <f>IF(K19&gt;0,ROUND((Config!$B$3/Config!$B$4/Config!$B$2)/(K19*3600)*1000000,3),"UNAVAILABLE")</f>
        <v/>
      </c>
      <c r="O19">
        <f>IF(L19&gt;0,ROUND((Config!$B$5/Config!$B$2)/(L19*3600)*1000000,3),"UNAVAILABLE")</f>
        <v/>
      </c>
      <c r="P19">
        <f>IF(AND(E19&gt;0,M19&gt;0),ROUND((Config!$B$3/Config!$B$4/Config!$B$2)*(M19/60)/(E19/1000000),3),"UNAVAILABLE")</f>
        <v/>
      </c>
      <c r="Q19">
        <f>IF(AND(E19&gt;0,M19&gt;0),ROUND((Config!$B$5/Config!$B$2)*(M19/60)/(E19/1000000),3),"UNAVAILABLE")</f>
        <v/>
      </c>
      <c r="R19">
        <f>IF(E19&gt;0,ROUND(F19/(E19/1000000),3),"UNAVAILABLE")</f>
        <v/>
      </c>
    </row>
    <row r="20">
      <c r="A20" t="inlineStr">
        <is>
          <t>WORKBOOK_UNVERIFIED</t>
        </is>
      </c>
      <c r="B20" t="inlineStr">
        <is>
          <t>UNAVAILABLE</t>
        </is>
      </c>
      <c r="C20" t="inlineStr">
        <is>
          <t>Qwen3.5-9B</t>
        </is>
      </c>
      <c r="D20" t="inlineStr">
        <is>
          <t>1k</t>
        </is>
      </c>
      <c r="E20" t="n">
        <v>287860</v>
      </c>
      <c r="G20" t="n">
        <v>0.34</v>
      </c>
      <c r="H20" t="n">
        <v>4</v>
      </c>
      <c r="I20" t="b">
        <v>1</v>
      </c>
      <c r="K20" t="n">
        <v>3214.78</v>
      </c>
      <c r="L20" t="n">
        <v>3739.78</v>
      </c>
      <c r="M20" t="n">
        <v>18.466</v>
      </c>
      <c r="N20">
        <f>IF(K20&gt;0,ROUND((Config!$B$3/Config!$B$4/Config!$B$2)/(K20*3600)*1000000,3),"UNAVAILABLE")</f>
        <v/>
      </c>
      <c r="O20">
        <f>IF(L20&gt;0,ROUND((Config!$B$5/Config!$B$2)/(L20*3600)*1000000,3),"UNAVAILABLE")</f>
        <v/>
      </c>
      <c r="P20">
        <f>IF(AND(E20&gt;0,M20&gt;0),ROUND((Config!$B$3/Config!$B$4/Config!$B$2)*(M20/60)/(E20/1000000),3),"UNAVAILABLE")</f>
        <v/>
      </c>
      <c r="Q20">
        <f>IF(AND(E20&gt;0,M20&gt;0),ROUND((Config!$B$5/Config!$B$2)*(M20/60)/(E20/1000000),3),"UNAVAILABLE")</f>
        <v/>
      </c>
      <c r="R20">
        <f>IF(E20&gt;0,ROUND(F20/(E20/1000000),3),"UNAVAILABLE")</f>
        <v/>
      </c>
    </row>
    <row r="21">
      <c r="A21" t="inlineStr">
        <is>
          <t>WORKBOOK_UNVERIFIED</t>
        </is>
      </c>
      <c r="B21" t="inlineStr">
        <is>
          <t>UNAVAILABLE</t>
        </is>
      </c>
      <c r="C21" t="inlineStr">
        <is>
          <t>Qwen3.5-9B</t>
        </is>
      </c>
      <c r="D21" t="inlineStr">
        <is>
          <t>10k</t>
        </is>
      </c>
      <c r="E21" t="n">
        <v>2854762</v>
      </c>
      <c r="G21" t="n">
        <v>0.34</v>
      </c>
      <c r="H21" t="n">
        <v>4</v>
      </c>
      <c r="I21" t="b">
        <v>1</v>
      </c>
      <c r="K21" t="n">
        <v>3213.38</v>
      </c>
      <c r="L21" t="n">
        <v>3603.12</v>
      </c>
      <c r="M21" t="n">
        <v>27.748</v>
      </c>
      <c r="N21">
        <f>IF(K21&gt;0,ROUND((Config!$B$3/Config!$B$4/Config!$B$2)/(K21*3600)*1000000,3),"UNAVAILABLE")</f>
        <v/>
      </c>
      <c r="O21">
        <f>IF(L21&gt;0,ROUND((Config!$B$5/Config!$B$2)/(L21*3600)*1000000,3),"UNAVAILABLE")</f>
        <v/>
      </c>
      <c r="P21">
        <f>IF(AND(E21&gt;0,M21&gt;0),ROUND((Config!$B$3/Config!$B$4/Config!$B$2)*(M21/60)/(E21/1000000),3),"UNAVAILABLE")</f>
        <v/>
      </c>
      <c r="Q21">
        <f>IF(AND(E21&gt;0,M21&gt;0),ROUND((Config!$B$5/Config!$B$2)*(M21/60)/(E21/1000000),3),"UNAVAILABLE")</f>
        <v/>
      </c>
      <c r="R21">
        <f>IF(E21&gt;0,ROUND(F21/(E21/1000000),3),"UNAVAILABLE")</f>
        <v/>
      </c>
    </row>
    <row r="22">
      <c r="A22" t="inlineStr">
        <is>
          <t>WORKBOOK_UNVERIFIED</t>
        </is>
      </c>
      <c r="B22" t="inlineStr">
        <is>
          <t>UNAVAILABLE</t>
        </is>
      </c>
      <c r="C22" t="inlineStr">
        <is>
          <t>Qwen3.5-27B</t>
        </is>
      </c>
      <c r="D22" t="inlineStr">
        <is>
          <t>1k</t>
        </is>
      </c>
      <c r="E22" t="n">
        <v>287860</v>
      </c>
      <c r="G22" t="n">
        <v>1.05</v>
      </c>
      <c r="H22" t="n">
        <v>4</v>
      </c>
      <c r="I22" t="b">
        <v>1</v>
      </c>
      <c r="K22" t="n">
        <v>809.4400000000001</v>
      </c>
      <c r="L22" t="n">
        <v>875.0599999999999</v>
      </c>
      <c r="M22" t="n">
        <v>23.871</v>
      </c>
      <c r="N22">
        <f>IF(K22&gt;0,ROUND((Config!$B$3/Config!$B$4/Config!$B$2)/(K22*3600)*1000000,3),"UNAVAILABLE")</f>
        <v/>
      </c>
      <c r="O22">
        <f>IF(L22&gt;0,ROUND((Config!$B$5/Config!$B$2)/(L22*3600)*1000000,3),"UNAVAILABLE")</f>
        <v/>
      </c>
      <c r="P22">
        <f>IF(AND(E22&gt;0,M22&gt;0),ROUND((Config!$B$3/Config!$B$4/Config!$B$2)*(M22/60)/(E22/1000000),3),"UNAVAILABLE")</f>
        <v/>
      </c>
      <c r="Q22">
        <f>IF(AND(E22&gt;0,M22&gt;0),ROUND((Config!$B$5/Config!$B$2)*(M22/60)/(E22/1000000),3),"UNAVAILABLE")</f>
        <v/>
      </c>
      <c r="R22">
        <f>IF(E22&gt;0,ROUND(F22/(E22/1000000),3),"UNAVAILABLE")</f>
        <v/>
      </c>
    </row>
    <row r="23">
      <c r="A23" t="inlineStr">
        <is>
          <t>WORKBOOK_UNVERIFIED</t>
        </is>
      </c>
      <c r="B23" t="inlineStr">
        <is>
          <t>UNAVAILABLE</t>
        </is>
      </c>
      <c r="C23" t="inlineStr">
        <is>
          <t>Qwen3.5-27B</t>
        </is>
      </c>
      <c r="D23" t="inlineStr">
        <is>
          <t>10k</t>
        </is>
      </c>
      <c r="E23" t="n">
        <v>2854762</v>
      </c>
      <c r="G23" t="n">
        <v>1.05</v>
      </c>
      <c r="H23" t="n">
        <v>4</v>
      </c>
      <c r="I23" t="b">
        <v>1</v>
      </c>
      <c r="K23" t="n">
        <v>809.74</v>
      </c>
      <c r="L23" t="n">
        <v>872.39</v>
      </c>
      <c r="M23" t="n">
        <v>41.434</v>
      </c>
      <c r="N23">
        <f>IF(K23&gt;0,ROUND((Config!$B$3/Config!$B$4/Config!$B$2)/(K23*3600)*1000000,3),"UNAVAILABLE")</f>
        <v/>
      </c>
      <c r="O23">
        <f>IF(L23&gt;0,ROUND((Config!$B$5/Config!$B$2)/(L23*3600)*1000000,3),"UNAVAILABLE")</f>
        <v/>
      </c>
      <c r="P23">
        <f>IF(AND(E23&gt;0,M23&gt;0),ROUND((Config!$B$3/Config!$B$4/Config!$B$2)*(M23/60)/(E23/1000000),3),"UNAVAILABLE")</f>
        <v/>
      </c>
      <c r="Q23">
        <f>IF(AND(E23&gt;0,M23&gt;0),ROUND((Config!$B$5/Config!$B$2)*(M23/60)/(E23/1000000),3),"UNAVAILABLE")</f>
        <v/>
      </c>
      <c r="R23">
        <f>IF(E23&gt;0,ROUND(F23/(E23/1000000),3),"UNAVAILABLE")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concurrency</t>
        </is>
      </c>
      <c r="C1" t="inlineStr">
        <is>
          <t>a100_tps</t>
        </is>
      </c>
      <c r="D1" t="inlineStr">
        <is>
          <t>h100_tps</t>
        </is>
      </c>
      <c r="E1" t="inlineStr">
        <is>
          <t>together_tps</t>
        </is>
      </c>
      <c r="F1" t="inlineStr">
        <is>
          <t>together_rate_source</t>
        </is>
      </c>
      <c r="G1" t="inlineStr">
        <is>
          <t>a100_formula_usd_per_m_output</t>
        </is>
      </c>
      <c r="H1" t="inlineStr">
        <is>
          <t>h100_formula_usd_per_m_output</t>
        </is>
      </c>
      <c r="I1" t="inlineStr">
        <is>
          <t>together_formula_usd_per_m_output</t>
        </is>
      </c>
    </row>
    <row r="2">
      <c r="A2" t="inlineStr">
        <is>
          <t>4B</t>
        </is>
      </c>
      <c r="B2" t="n">
        <v>16</v>
      </c>
      <c r="C2" t="n">
        <v>1506.809</v>
      </c>
      <c r="D2" t="n">
        <v>1702.394</v>
      </c>
      <c r="E2" t="n">
        <v>1533.4</v>
      </c>
      <c r="F2" t="inlineStr">
        <is>
          <t>ASSUMED_1xH100</t>
        </is>
      </c>
      <c r="G2">
        <f>IF(C2&gt;0,ROUND(((Config!$B$3/Config!$B$4/Config!$B$2)/(C2*3600)*1000000)/Config!$B$6,3),"UNAVAILABLE")</f>
        <v/>
      </c>
      <c r="H2">
        <f>IF(D2&gt;0,ROUND(((Config!$B$5/Config!$B$2)/(D2*3600)*1000000)/Config!$B$6,3),"UNAVAILABLE")</f>
        <v/>
      </c>
      <c r="I2">
        <f>IF(E2&gt;0,ROUND((5.49/(E2*3600)*1000000)/Config!$B$6,3),"UNAVAILABLE")</f>
        <v/>
      </c>
    </row>
    <row r="3">
      <c r="A3" t="inlineStr">
        <is>
          <t>9B</t>
        </is>
      </c>
      <c r="B3" t="n">
        <v>16</v>
      </c>
      <c r="C3" t="n">
        <v>1137.232</v>
      </c>
      <c r="D3" t="n">
        <v>1170.604</v>
      </c>
      <c r="E3" t="n">
        <v>1104.579</v>
      </c>
      <c r="F3" t="inlineStr">
        <is>
          <t>ASSUMED_1xH100</t>
        </is>
      </c>
      <c r="G3">
        <f>IF(C3&gt;0,ROUND(((Config!$B$3/Config!$B$4/Config!$B$2)/(C3*3600)*1000000)/Config!$B$6,3),"UNAVAILABLE")</f>
        <v/>
      </c>
      <c r="H3">
        <f>IF(D3&gt;0,ROUND(((Config!$B$5/Config!$B$2)/(D3*3600)*1000000)/Config!$B$6,3),"UNAVAILABLE")</f>
        <v/>
      </c>
      <c r="I3">
        <f>IF(E3&gt;0,ROUND((5.49/(E3*3600)*1000000)/Config!$B$6,3),"UNAVAILABLE")</f>
        <v/>
      </c>
    </row>
    <row r="4">
      <c r="A4" t="inlineStr">
        <is>
          <t>27B</t>
        </is>
      </c>
      <c r="B4" t="n">
        <v>16</v>
      </c>
      <c r="C4" t="n">
        <v>378.058</v>
      </c>
      <c r="D4" t="n">
        <v>416.549</v>
      </c>
      <c r="E4" t="n">
        <v>596.4</v>
      </c>
      <c r="F4" t="inlineStr">
        <is>
          <t>ASSUMED_1xH100</t>
        </is>
      </c>
      <c r="G4">
        <f>IF(C4&gt;0,ROUND(((Config!$B$3/Config!$B$4/Config!$B$2)/(C4*3600)*1000000)/Config!$B$6,3),"UNAVAILABLE")</f>
        <v/>
      </c>
      <c r="H4">
        <f>IF(D4&gt;0,ROUND(((Config!$B$5/Config!$B$2)/(D4*3600)*1000000)/Config!$B$6,3),"UNAVAILABLE")</f>
        <v/>
      </c>
      <c r="I4">
        <f>IF(E4&gt;0,ROUND((5.49/(E4*3600)*1000000)/Config!$B$6,3),"UNAVAILABLE")</f>
        <v/>
      </c>
    </row>
    <row r="5">
      <c r="A5" t="inlineStr">
        <is>
          <t>27B</t>
        </is>
      </c>
      <c r="B5" t="n">
        <v>32</v>
      </c>
      <c r="C5" t="n">
        <v>628.29</v>
      </c>
      <c r="D5" t="n">
        <v>725.432</v>
      </c>
      <c r="E5" t="n">
        <v>920.806</v>
      </c>
      <c r="F5" t="inlineStr">
        <is>
          <t>ASSUMED_1xH100</t>
        </is>
      </c>
      <c r="G5">
        <f>IF(C5&gt;0,ROUND(((Config!$B$3/Config!$B$4/Config!$B$2)/(C5*3600)*1000000)/Config!$B$6,3),"UNAVAILABLE")</f>
        <v/>
      </c>
      <c r="H5">
        <f>IF(D5&gt;0,ROUND(((Config!$B$5/Config!$B$2)/(D5*3600)*1000000)/Config!$B$6,3),"UNAVAILABLE")</f>
        <v/>
      </c>
      <c r="I5">
        <f>IF(E5&gt;0,ROUND((5.49/(E5*3600)*1000000)/Config!$B$6,3),"UNAVAILABLE")</f>
        <v/>
      </c>
    </row>
    <row r="6">
      <c r="A6" t="inlineStr">
        <is>
          <t>27B</t>
        </is>
      </c>
      <c r="B6" t="n">
        <v>64</v>
      </c>
      <c r="C6" t="n">
        <v>955.492</v>
      </c>
      <c r="D6" t="n">
        <v>1131.698</v>
      </c>
      <c r="E6" t="n">
        <v>1369.677</v>
      </c>
      <c r="F6" t="inlineStr">
        <is>
          <t>ASSUMED_1xH100</t>
        </is>
      </c>
      <c r="G6">
        <f>IF(C6&gt;0,ROUND(((Config!$B$3/Config!$B$4/Config!$B$2)/(C6*3600)*1000000)/Config!$B$6,3),"UNAVAILABLE")</f>
        <v/>
      </c>
      <c r="H6">
        <f>IF(D6&gt;0,ROUND(((Config!$B$5/Config!$B$2)/(D6*3600)*1000000)/Config!$B$6,3),"UNAVAILABLE")</f>
        <v/>
      </c>
      <c r="I6">
        <f>IF(E6&gt;0,ROUND((5.49/(E6*3600)*1000000)/Config!$B$6,3),"UNAVAILABLE")</f>
        <v/>
      </c>
    </row>
    <row r="7">
      <c r="A7" t="inlineStr">
        <is>
          <t>gpt-oss-20B</t>
        </is>
      </c>
      <c r="B7" t="n">
        <v>16</v>
      </c>
      <c r="C7" t="n">
        <v>1747.186</v>
      </c>
      <c r="D7" t="n">
        <v>1716.174</v>
      </c>
      <c r="E7" t="n">
        <v>1492.888</v>
      </c>
      <c r="F7" t="inlineStr">
        <is>
          <t>ASSUMED_1xH100</t>
        </is>
      </c>
      <c r="G7">
        <f>IF(C7&gt;0,ROUND(((Config!$B$3/Config!$B$4/Config!$B$2)/(C7*3600)*1000000)/Config!$B$6,3),"UNAVAILABLE")</f>
        <v/>
      </c>
      <c r="H7">
        <f>IF(D7&gt;0,ROUND(((Config!$B$5/Config!$B$2)/(D7*3600)*1000000)/Config!$B$6,3),"UNAVAILABLE")</f>
        <v/>
      </c>
      <c r="I7">
        <f>IF(E7&gt;0,ROUND((5.49/(E7*3600)*1000000)/Config!$B$6,3),"UNAVAILABLE")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2026-10-09T16:34:38Z</dcterms:created>
  <dcterms:modified xsi:type="dcterms:W3CDTF">2026-10-10T04:57:56Z</dcterms:modified>
  <cp:lastModifiedBy>Mrunali Katta</cp:lastModifiedBy>
</cp:coreProperties>
</file>